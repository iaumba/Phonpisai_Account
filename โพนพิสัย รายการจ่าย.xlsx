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าราง Pivot 1" sheetId="1" r:id="rId5"/>
    <sheet state="visible" name="มิ.ย.69" sheetId="2" r:id="rId6"/>
    <sheet state="visible" name="ก.ค.69" sheetId="3" r:id="rId7"/>
    <sheet state="visible" name="ส.ค.69" sheetId="4" r:id="rId8"/>
    <sheet state="visible" name="ก.ย.69" sheetId="5" r:id="rId9"/>
  </sheets>
  <definedNames>
    <definedName hidden="1" localSheetId="1" name="_xlnm._FilterDatabase">'มิ.ย.69'!$A$1:$Z$1010</definedName>
    <definedName hidden="1" localSheetId="2" name="_xlnm._FilterDatabase">'ก.ค.69'!$A$1:$Z$1024</definedName>
    <definedName hidden="1" localSheetId="3" name="_xlnm._FilterDatabase">'ส.ค.69'!$A$1:$Z$1075</definedName>
    <definedName hidden="1" localSheetId="4" name="_xlnm._FilterDatabase">'ก.ย.69'!$A$1:$Z$1058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<sst xmlns="http://schemas.openxmlformats.org/spreadsheetml/2006/main" count="4255" uniqueCount="983">
  <si>
    <t>วันที่</t>
  </si>
  <si>
    <t xml:space="preserve">                                                                                                                                                                                                            </t>
  </si>
  <si>
    <t>เจ้าหนี้</t>
  </si>
  <si>
    <t>รายการสินค้า</t>
  </si>
  <si>
    <t>จำนวนเงิน</t>
  </si>
  <si>
    <t xml:space="preserve">ชำระเงิน </t>
  </si>
  <si>
    <t>วันที่ชำระเงิน</t>
  </si>
  <si>
    <t>ชื่อบัญชี (จ่าย)</t>
  </si>
  <si>
    <t>ธนาคาร</t>
  </si>
  <si>
    <t>หมายเหตุ แยก คชจ.</t>
  </si>
  <si>
    <t>น้ำแข็งเอเชีย</t>
  </si>
  <si>
    <t>คุณรุ่ง ซีฟู้ด</t>
  </si>
  <si>
    <t>น้ำแข็ง 2 ถุง 35.-</t>
  </si>
  <si>
    <t>สาริกา</t>
  </si>
  <si>
    <t>จ่ายสด</t>
  </si>
  <si>
    <t>ไทยพาณิชย์(ส่วนตัว)</t>
  </si>
  <si>
    <t>บ.ทีเอฟ เดอะเบส</t>
  </si>
  <si>
    <t>เงินร้าน</t>
  </si>
  <si>
    <t>บริษัท ซันเหยียน</t>
  </si>
  <si>
    <t>ปูม้า</t>
  </si>
  <si>
    <t>3ชั้นลอกแท่ง</t>
  </si>
  <si>
    <t>เคเอส</t>
  </si>
  <si>
    <t>พี่ต่าย</t>
  </si>
  <si>
    <t>ทวีวง</t>
  </si>
  <si>
    <t>จ่่ายสด</t>
  </si>
  <si>
    <t>น้ำแข็งวิศิษฐ์</t>
  </si>
  <si>
    <t>น้ำแข็ง  4 ถุง 35.-</t>
  </si>
  <si>
    <t>ดีดี เลิศทรัพย์ จำกัด</t>
  </si>
  <si>
    <t>ปูตัด</t>
  </si>
  <si>
    <t>บัญชีร้าน พวงประกา</t>
  </si>
  <si>
    <t>บัญชีร้าน กรุงไทย</t>
  </si>
  <si>
    <t xml:space="preserve">  บารมี โฟรเซ่นฟู้ด</t>
  </si>
  <si>
    <t>โอนช้ำกับนุช 17940 (คืน 66240 17940+48300 5/7เข้า กรูงศรี)</t>
  </si>
  <si>
    <t>เคอเรนท์</t>
  </si>
  <si>
    <t>ซุปหม่าลา</t>
  </si>
  <si>
    <t>ซุปหม่าลา 80 ก้อน</t>
  </si>
  <si>
    <t xml:space="preserve">พวงประกา </t>
  </si>
  <si>
    <t>กรุุงศรี</t>
  </si>
  <si>
    <t>น้ำมันขนส่ง</t>
  </si>
  <si>
    <t>ว.ประกาย</t>
  </si>
  <si>
    <t>ค่าน้ำมันเต๋า</t>
  </si>
  <si>
    <t xml:space="preserve">SUM ของ ชำระเงิน </t>
  </si>
  <si>
    <t>กรุงศรี</t>
  </si>
  <si>
    <t>ริสกี</t>
  </si>
  <si>
    <t>สไบหั่น</t>
  </si>
  <si>
    <t>ทองสุข สาขายขอนแก่น</t>
  </si>
  <si>
    <t>เส้นแก้ว บุกไข่ บุกขาว สาหร่ายยาว</t>
  </si>
  <si>
    <t>หักเติมทุน นุช</t>
  </si>
  <si>
    <t>ไทยวา</t>
  </si>
  <si>
    <t>วุ้นเส้น500/5สอบ</t>
  </si>
  <si>
    <t>ค่าใช้จ่าย</t>
  </si>
  <si>
    <t>ตับจี้มันดอลลี่ลอกหนังชาบูพรุน</t>
  </si>
  <si>
    <t>มะลิวัลย์ หมูอร่อย</t>
  </si>
  <si>
    <t>3นุ่มเบคอนไสเล็กหมูเด้งสันคอเขียวชาบูชมพู</t>
  </si>
  <si>
    <t>กระดาษบิล</t>
  </si>
  <si>
    <t>พวงประกา</t>
  </si>
  <si>
    <t>กรุงไทย</t>
  </si>
  <si>
    <t>บ.มะลิวัลย์ หมุอร่อย</t>
  </si>
  <si>
    <t xml:space="preserve">หมูหมัก </t>
  </si>
  <si>
    <t>กรุุงไทย</t>
  </si>
  <si>
    <t>โต๊ะไม้ขนไก่กระจกตะกร้า</t>
  </si>
  <si>
    <t>จ่ายสด 75000</t>
  </si>
  <si>
    <t>ผลรวม</t>
  </si>
  <si>
    <t>สมชาย</t>
  </si>
  <si>
    <t>หมูหมัก ปูอัด บุบม้วล</t>
  </si>
  <si>
    <t>รับ</t>
  </si>
  <si>
    <t>วีรชาติ</t>
  </si>
  <si>
    <t>กรงศรี(ส่วนตัว)</t>
  </si>
  <si>
    <t>แพเจริญ</t>
  </si>
  <si>
    <t>กุ้ง25-30</t>
  </si>
  <si>
    <t>จ่าย</t>
  </si>
  <si>
    <t>ไอติมเอเต้</t>
  </si>
  <si>
    <t>ไอติม</t>
  </si>
  <si>
    <t>มิย</t>
  </si>
  <si>
    <t>ค่าน้ำมัน  พี่ศักดิ์</t>
  </si>
  <si>
    <t>กสิกร (ส่วนตัว)</t>
  </si>
  <si>
    <t>ขายำ หนองคาย</t>
  </si>
  <si>
    <t>ขายำ</t>
  </si>
  <si>
    <t>กค</t>
  </si>
  <si>
    <t>กรุงไทย (บัญชีร้าน)</t>
  </si>
  <si>
    <t>บ.สินเจริญชัย</t>
  </si>
  <si>
    <t>ค่่าใช้จ่าย</t>
  </si>
  <si>
    <t>เส้้นแก้ว บุกขาว บุกไข่</t>
  </si>
  <si>
    <t>เกลือ</t>
  </si>
  <si>
    <t>กรุงศรี(บัญชีร้าน)</t>
  </si>
  <si>
    <t>บ.บุญศิริ</t>
  </si>
  <si>
    <t>ส.ค1-6</t>
  </si>
  <si>
    <t>ดอลลี่ฟ้า ดักแด้ อาเจนS</t>
  </si>
  <si>
    <t>ทองสุข โพนทอง</t>
  </si>
  <si>
    <t>น้ำแข็ง  3 ถุง 35.-</t>
  </si>
  <si>
    <t>กสิกร(ส่วนตัว)</t>
  </si>
  <si>
    <t>น้ำแข็ง 8 ถุง</t>
  </si>
  <si>
    <t>แอร์จ่าย</t>
  </si>
  <si>
    <t>หมูหมัก เดอะเบส</t>
  </si>
  <si>
    <t>บ.ริสกี</t>
  </si>
  <si>
    <t>สไบผืน/หั้น หมึกกรอบตัว/หั่น</t>
  </si>
  <si>
    <t>เงินสด</t>
  </si>
  <si>
    <t>น้องแพท สด</t>
  </si>
  <si>
    <t>*แอร์โอนช้ำกับน้องแพท  48300  (คืน 66240 17940+48300 5/7เข้า กรูงศรี)</t>
  </si>
  <si>
    <t>ค่าสินค้า</t>
  </si>
  <si>
    <t>ไส้กรอกรมควัน</t>
  </si>
  <si>
    <t>พนักงานเบิก</t>
  </si>
  <si>
    <t>ค่าน้ำมันพี่ศัก</t>
  </si>
  <si>
    <t>แจงเบิก</t>
  </si>
  <si>
    <t>ค่าสินค้้า (ผัก)</t>
  </si>
  <si>
    <t>หล่ำกาดขาวข้าวโพดหอม</t>
  </si>
  <si>
    <t>ฮะนาน</t>
  </si>
  <si>
    <t>ชาบูติดหนัง ลอกหนังวินเนอร์ ไสเล็ก</t>
  </si>
  <si>
    <t>เสือออส52โล</t>
  </si>
  <si>
    <t>น้ำมันมอไชค์</t>
  </si>
  <si>
    <t>เติมน้ำมันมอไซค์พ่วง</t>
  </si>
  <si>
    <t>ค่าน้ำมันศัก</t>
  </si>
  <si>
    <t>เบทาโกล</t>
  </si>
  <si>
    <t>เต้าหู้ไข่</t>
  </si>
  <si>
    <t>น้ำแข็ง 2 ถุง</t>
  </si>
  <si>
    <t>น้ำแข็ง 5 ถุง</t>
  </si>
  <si>
    <t>ถุงยืด (ใช้ในร้าน)</t>
  </si>
  <si>
    <t>ถุงยืด 14*22 20*30 รวม4 ถุง</t>
  </si>
  <si>
    <t>โปรเห็ด</t>
  </si>
  <si>
    <t>เห็ด8ลัง ใหญ่ 3ลัง</t>
  </si>
  <si>
    <t>พรบ มอไซค์</t>
  </si>
  <si>
    <t>กานพลู</t>
  </si>
  <si>
    <t>ลอกหนังชาบูนุ่มงาพริก3ชั้น</t>
  </si>
  <si>
    <t>สไบหั่น กรอยหั่น</t>
  </si>
  <si>
    <t>โอน 7/7 = 29,400+16,000 = 45,400</t>
  </si>
  <si>
    <t>ค่าแรง</t>
  </si>
  <si>
    <t>พี่นิดผักสด</t>
  </si>
  <si>
    <t>หล่ำบุ้งกาดขาวโหรพาขึ้นฉาย</t>
  </si>
  <si>
    <t>ค่าแรงเทปูน</t>
  </si>
  <si>
    <t>CP</t>
  </si>
  <si>
    <t>ไส้กรอกโบโลน่าคอกเทล</t>
  </si>
  <si>
    <t>กาแฟ 3in1= 2 ห่อ</t>
  </si>
  <si>
    <t>สามชั้นแผ่น สันแท่งแท่งจี้3ชั้นแท่ง</t>
  </si>
  <si>
    <t>เค เอส</t>
  </si>
  <si>
    <t>ค่าใช้้จ่าย</t>
  </si>
  <si>
    <t>หมูเด้ ท้องม่อน บั้ง</t>
  </si>
  <si>
    <t>รวมคชจ มิย</t>
  </si>
  <si>
    <t>เหรียญ</t>
  </si>
  <si>
    <t>น้ำแข็ง 3 ถุง</t>
  </si>
  <si>
    <t xml:space="preserve">ซุปหม่าล่า10 ชอง </t>
  </si>
  <si>
    <t>กุ้ง25-25/20โล</t>
  </si>
  <si>
    <t>พวกประกา</t>
  </si>
  <si>
    <t>รอเคลียร์ สารคาม</t>
  </si>
  <si>
    <t>ึค่าขนส่ง 2ฒษ1491</t>
  </si>
  <si>
    <t>แพกุ้งทวีคูณ</t>
  </si>
  <si>
    <t>นายวิษณุ สมวงษา</t>
  </si>
  <si>
    <t>กุ้งก้าม13/15 10 โล</t>
  </si>
  <si>
    <t>เงินสดในมือ</t>
  </si>
  <si>
    <t>เกาหลีหม่าล่าเนื้อนุ่งา 3ชั้นนุ่มงาพริก</t>
  </si>
  <si>
    <t>บังอร</t>
  </si>
  <si>
    <t>ไพศาล</t>
  </si>
  <si>
    <t>ไข่นก</t>
  </si>
  <si>
    <t>เห็ดโปร</t>
  </si>
  <si>
    <t>เห็ดเข็มทอง</t>
  </si>
  <si>
    <t>bigc phon</t>
  </si>
  <si>
    <t>ชองใส แฟ้ม</t>
  </si>
  <si>
    <t>คิงส์วิช</t>
  </si>
  <si>
    <t>ปูอัดส้ม</t>
  </si>
  <si>
    <t>บุุญโฮม</t>
  </si>
  <si>
    <t>สไบผืน หั่น</t>
  </si>
  <si>
    <t>ทีเอฟ เดอะเบส</t>
  </si>
  <si>
    <t>DIY</t>
  </si>
  <si>
    <t>ลบคำผิด คัดเตอร์ลองเมาส์แม็ก</t>
  </si>
  <si>
    <t>ฟองเต้าหู้ทอด 1 ลัง/32 แพ็ค</t>
  </si>
  <si>
    <t>สามชั้นแผ่น สันคอแท่ง</t>
  </si>
  <si>
    <t>เส้นหมึบ 20 ห่อ</t>
  </si>
  <si>
    <t>3ชั้นสไลค์สด</t>
  </si>
  <si>
    <t>กุ้ง45-50/20โล</t>
  </si>
  <si>
    <t>น้ำถัง 6 ถง</t>
  </si>
  <si>
    <t>น้ำถัง 6 ถง*15</t>
  </si>
  <si>
    <t>บ.ฮะนาน บีฟ</t>
  </si>
  <si>
    <t>เนื้อ สันคอ โครง เสือออส ใบไม้</t>
  </si>
  <si>
    <t>นุ่มพริกเกาหลีคุโร</t>
  </si>
  <si>
    <t>ทองสุข มหาสารคาม</t>
  </si>
  <si>
    <t>บ.สมชาย</t>
  </si>
  <si>
    <t>ค่าน้ำมันพี่ยุท</t>
  </si>
  <si>
    <t>คุโรบุตะ</t>
  </si>
  <si>
    <t>ค่่าน้ำถัง</t>
  </si>
  <si>
    <t>น้ำถัง 15 ถัง 15.-</t>
  </si>
  <si>
    <t>บุญสิริ</t>
  </si>
  <si>
    <t>ดอลลี่ ลังฟ้า 20 ลัง</t>
  </si>
  <si>
    <t>น้ำำแข็ง 2 ถุง 35.-</t>
  </si>
  <si>
    <t>นำทัพ</t>
  </si>
  <si>
    <t>ปูม้า40/60 35 ลัง</t>
  </si>
  <si>
    <t>น้ำำแข็ง 6 ถุง 40.-</t>
  </si>
  <si>
    <t>2/8 12360 ทองสุข โพนทอง</t>
  </si>
  <si>
    <t>ยิงบาโค้ด</t>
  </si>
  <si>
    <t>โพนทองสำรองจ่าย 2/8</t>
  </si>
  <si>
    <t>โอนคืนจาก กรุงไทย  7/8</t>
  </si>
  <si>
    <t>หมึกกระดอง20-30 20โล 8-10/20โล</t>
  </si>
  <si>
    <t>กสิกร</t>
  </si>
  <si>
    <t>(10000+4900 โอน2บัญชี)</t>
  </si>
  <si>
    <t>เห็ดเข็มทอง 200กรัม /1 กก</t>
  </si>
  <si>
    <t>สำเภาทอง</t>
  </si>
  <si>
    <t>ลอกหนัง ชาบู</t>
  </si>
  <si>
    <t>กุ้ง55-60 หมึก8-10,20-30</t>
  </si>
  <si>
    <t>บ.คาร์กิลล์มีทส์</t>
  </si>
  <si>
    <t>นักเก็ตซัน,ไก่ป็อปซัน นักเก็ตถุงชมพู</t>
  </si>
  <si>
    <t>ชิลี ราด้า วง เบบี๋</t>
  </si>
  <si>
    <t>คอ500 อาเจนss ดอลลี่น้ำเงิน</t>
  </si>
  <si>
    <t>ค่่าใข้จ่าย</t>
  </si>
  <si>
    <t>ที่คิบอาหาร</t>
  </si>
  <si>
    <t>ทรัพย์สมุทร</t>
  </si>
  <si>
    <t>พรุนผ่า4</t>
  </si>
  <si>
    <t>น้ำยาล้างจาน ถูกพื้น</t>
  </si>
  <si>
    <t>น้ำำแข็ง 3 ถุง 40.-</t>
  </si>
  <si>
    <t>น้ำำแข็ง 6 ถุง 35.-</t>
  </si>
  <si>
    <t>บุญศิริ</t>
  </si>
  <si>
    <t>ปลาลังฟ้า ลังม่วง</t>
  </si>
  <si>
    <t>น้ำแข็ง  2 ถุง 35.-</t>
  </si>
  <si>
    <t>สไบหั่น กรอบตัว/หั่น</t>
  </si>
  <si>
    <t>คำตัน</t>
  </si>
  <si>
    <t>เห็ดเข็ม</t>
  </si>
  <si>
    <t xml:space="preserve">เห็ดเข็มโปร </t>
  </si>
  <si>
    <t>พี่ศักเบิก</t>
  </si>
  <si>
    <t>คำตำ</t>
  </si>
  <si>
    <t>บัญชีร้าาน พวงประกา</t>
  </si>
  <si>
    <t>เบทาโกร</t>
  </si>
  <si>
    <t>มันเต๋า</t>
  </si>
  <si>
    <t>กุ้ง55/66 40/45</t>
  </si>
  <si>
    <t>โอนช้ำกับน้องแพท 6120 โอนคืนแล้วบัญชี โพนพิสัย กรุงศรี</t>
  </si>
  <si>
    <t>แพ.กุ้งทวี</t>
  </si>
  <si>
    <t>กุ้งขาว 70-75</t>
  </si>
  <si>
    <t>น้ำำแข็ง 5 ถุง 40.-</t>
  </si>
  <si>
    <t>3ชั้นนุ่ม งา พริก ชาบู สันคอ</t>
  </si>
  <si>
    <t>ซีพี</t>
  </si>
  <si>
    <t>สันคอแท่ง100โล</t>
  </si>
  <si>
    <t>20180 โอน +สด10720</t>
  </si>
  <si>
    <t xml:space="preserve">โอน 14600 </t>
  </si>
  <si>
    <t>ไพรศาล</t>
  </si>
  <si>
    <t>ค่าใช้จ่าย (ส่วนทุน)</t>
  </si>
  <si>
    <t>เบคอนรมควัน พันไส้กรอก</t>
  </si>
  <si>
    <t>เงินสด 2/7 กรุงไทย</t>
  </si>
  <si>
    <t>ค่่าธรรมเนียมที่ดิน</t>
  </si>
  <si>
    <t>ค่าถอดน้องแพทออกจากโฉนด</t>
  </si>
  <si>
    <t>สไบผืนA B หั่น กรอบตัว/หั่น</t>
  </si>
  <si>
    <t>บ.เบทาโกร</t>
  </si>
  <si>
    <t>สันคอ สามชั้น สันนอก(แท่ง)  มัน เต๋า</t>
  </si>
  <si>
    <t>ตับสไล</t>
  </si>
  <si>
    <t>เห็ดเล็ก ใหญ่</t>
  </si>
  <si>
    <t>3ชั้นสไลเรียง 3หมักAAA  หมูหมัก ชาบู ลอกหนัง</t>
  </si>
  <si>
    <t>ออมสิน</t>
  </si>
  <si>
    <t>สไบหั่น กรอบตัว</t>
  </si>
  <si>
    <t>รอรับเงินสดที่โพนทอง</t>
  </si>
  <si>
    <t>น้องแพทสด</t>
  </si>
  <si>
    <t>พี่ยุทเบิก</t>
  </si>
  <si>
    <t xml:space="preserve">กาแฟ </t>
  </si>
  <si>
    <t>3นุ่มเดอะเบส 3ชั้นสไลลอกเรียง</t>
  </si>
  <si>
    <t>ผัก</t>
  </si>
  <si>
    <t xml:space="preserve">ผักบุ้ง </t>
  </si>
  <si>
    <t>เคลือบเอกสาร</t>
  </si>
  <si>
    <t>อำนวยฟู้ด</t>
  </si>
  <si>
    <t>น้ำจิ้มแชมป์</t>
  </si>
  <si>
    <t>น้ำำแข็ง 5 ถุง 35.-</t>
  </si>
  <si>
    <t>โบโลน่า 20 แพ็ค</t>
  </si>
  <si>
    <t>ตับก้อน</t>
  </si>
  <si>
    <t>หมัก นุ่ม งา พรก 3ชั้นนุ่ม งา</t>
  </si>
  <si>
    <t>กรุุงศร๊</t>
  </si>
  <si>
    <t>ทองสุขสาขามหาสารคาม</t>
  </si>
  <si>
    <t>วุ้นไม้เกลือเห็ดสาหร่ยถุงไส้ตันฯ</t>
  </si>
  <si>
    <t>โกลบอลเฮ้าส์</t>
  </si>
  <si>
    <t>เก้าอี้</t>
  </si>
  <si>
    <t>หัก เข้าทุนโพนพิสัย</t>
  </si>
  <si>
    <t>เบคอนสด หมูงาพริกเกาหลี</t>
  </si>
  <si>
    <t>ค่าแรงปุ้ย 1-7 กค69</t>
  </si>
  <si>
    <t>ถาดโฟม 2 แถว</t>
  </si>
  <si>
    <t>น้ำำแข็ง 4 ถุง 35.-</t>
  </si>
  <si>
    <t>บ.ฮะนาน</t>
  </si>
  <si>
    <t>เนื้อสันคอ</t>
  </si>
  <si>
    <t>เวิร์ดเนท</t>
  </si>
  <si>
    <t>วากาเมะสั้น 5 ลัง</t>
  </si>
  <si>
    <t>พวงประก</t>
  </si>
  <si>
    <t>หมึกกระดอง20/30</t>
  </si>
  <si>
    <t>บุ้งกาดขาวหล่ำ</t>
  </si>
  <si>
    <t>หน้ากากเชือมเขียงพลาสติกปลั๊กไฟ ผ้าเช็ค ถาดใส่เอกสสาร</t>
  </si>
  <si>
    <t>โกลบอลเฮาส์</t>
  </si>
  <si>
    <t>ตะกร้า ถุงขยะ ม็อบ ถุงมือ น้ำยาถูกพื้น,ล้างจาน</t>
  </si>
  <si>
    <t>ไม้กวาด หินลับมีด</t>
  </si>
  <si>
    <t>โกลบอล</t>
  </si>
  <si>
    <t>เต้าหู้ไข่ สันนอก</t>
  </si>
  <si>
    <t>อุปกรณ์ เหล็ก</t>
  </si>
  <si>
    <t>กุ้งขาว45-50/20โล</t>
  </si>
  <si>
    <t>น้ำแข็ง 2 ถุง 40.-</t>
  </si>
  <si>
    <t>ค่ามัดจำที่</t>
  </si>
  <si>
    <t>น้ำำแข็ง 8 ถุง 35.-</t>
  </si>
  <si>
    <t>พงษ์เทพ</t>
  </si>
  <si>
    <t>ถาด เครื่องคิดเลย</t>
  </si>
  <si>
    <t>บุกไข่,ขาว ไส้ต้มเล็ก ใหญ่ หมูนุุ่มงาพริกเกาหลี</t>
  </si>
  <si>
    <t>สินเจริญชัย</t>
  </si>
  <si>
    <t>บุุกไข่ ขาว</t>
  </si>
  <si>
    <t>แม็คโคร</t>
  </si>
  <si>
    <t>เบียร์ลีโอช้างขวด อิชิตัน เย็นๆ สปอนเซอร์</t>
  </si>
  <si>
    <t>ประกันคุมภัยโตเกียวมาริน</t>
  </si>
  <si>
    <t>ประกันอุบัติเหตุพนักงาน</t>
  </si>
  <si>
    <t>บดินทร์</t>
  </si>
  <si>
    <t>ค่าป้าย</t>
  </si>
  <si>
    <t>สไบหั่น250กรอบหั่น100</t>
  </si>
  <si>
    <t>ปลาตัวน้ำตาล</t>
  </si>
  <si>
    <t>ทองสุขขอนแก่น</t>
  </si>
  <si>
    <t>ผักบุ้ง หล่ำ กาดขาว โหรพา ชึ้นฉ่าย ข้าวโพด</t>
  </si>
  <si>
    <t xml:space="preserve">หมูนุ่ม พริก </t>
  </si>
  <si>
    <t>ค่าสินค้า กุ้ง</t>
  </si>
  <si>
    <t>น้ำแข็ง 4 ถุง</t>
  </si>
  <si>
    <t>กุ้ง50-55  40-45</t>
  </si>
  <si>
    <t>นาเบิก</t>
  </si>
  <si>
    <t>ทองสุขสารคาม</t>
  </si>
  <si>
    <t>ขนมจีบไส้ทะลัก เฟรนฟาย</t>
  </si>
  <si>
    <t>เคลียร์ เป็นทุน</t>
  </si>
  <si>
    <t>internet</t>
  </si>
  <si>
    <t>ค่าตู้รถคอก</t>
  </si>
  <si>
    <t>truemoney</t>
  </si>
  <si>
    <t>นายรุ่งสัมพัน เรืองทวี</t>
  </si>
  <si>
    <t>ค่าโต๊ะจีน</t>
  </si>
  <si>
    <t>น.ส.ภัครดา ธงยศ</t>
  </si>
  <si>
    <t>ค่าใช้จ่ายเบ็ดเตล็ด</t>
  </si>
  <si>
    <t>น้ำแข็ง 4 ถุง 35.-</t>
  </si>
  <si>
    <t>บิ๊กช้อป</t>
  </si>
  <si>
    <t>กระดาษ สมุด</t>
  </si>
  <si>
    <t>ค่าใช้จ่่าย</t>
  </si>
  <si>
    <t>ค่าส่งสาหร่าย</t>
  </si>
  <si>
    <t>น้องแพทเบิกเงิดสด</t>
  </si>
  <si>
    <t>ให้คุณพ่อ 9500+5000+1500</t>
  </si>
  <si>
    <t>เกาหลี งา นุ่ม พริก</t>
  </si>
  <si>
    <t>เครือบเอกสาร</t>
  </si>
  <si>
    <t>ค่าซ่อมรถ</t>
  </si>
  <si>
    <t>ตรวจสภาพรถ</t>
  </si>
  <si>
    <t xml:space="preserve"> จี้ มันเต๋า</t>
  </si>
  <si>
    <t xml:space="preserve">ค่าใช้จ่าย </t>
  </si>
  <si>
    <t>ทัพพี เก้าอี้</t>
  </si>
  <si>
    <t>โอนรวม 2บิล 10935</t>
  </si>
  <si>
    <t>ตับ</t>
  </si>
  <si>
    <t>Little hope Cafe</t>
  </si>
  <si>
    <t>อาหาร</t>
  </si>
  <si>
    <t>น้ำแข็ง  5 ถุง 35.-</t>
  </si>
  <si>
    <t>น้ำถัง</t>
  </si>
  <si>
    <t>พี่กอย</t>
  </si>
  <si>
    <t>น้ำ4ถัง*15</t>
  </si>
  <si>
    <t>ค่าน้ำมัน</t>
  </si>
  <si>
    <t>น้ำมันมอไซค์</t>
  </si>
  <si>
    <t>พี่ี่กอย</t>
  </si>
  <si>
    <t>เวิลด์เนท</t>
  </si>
  <si>
    <t>สาหร่าย</t>
  </si>
  <si>
    <t>บ.ทรัพย์ไพศาล</t>
  </si>
  <si>
    <t>เบคอนบี ไข่นก เบคอนพัไสกรอก เห็ดแห้งใหญ่</t>
  </si>
  <si>
    <t>ถ้วยพลาสติก3000/2000</t>
  </si>
  <si>
    <t>เต้าหู้ไข่ 3หิ้ว</t>
  </si>
  <si>
    <t>เห็ด</t>
  </si>
  <si>
    <t>แพ กุ้งทวี</t>
  </si>
  <si>
    <t>กุ้ง 70-75</t>
  </si>
  <si>
    <t>บ.ไทยวา</t>
  </si>
  <si>
    <t>วุ้นเส้นกินเลน</t>
  </si>
  <si>
    <t>เงินสด(จากเงินเติม)</t>
  </si>
  <si>
    <t>น้ำจิ้มคุณนิด</t>
  </si>
  <si>
    <t xml:space="preserve">เต้าหู้ไข่ </t>
  </si>
  <si>
    <t>น้ำแข็ง  6 ถุง 35.-</t>
  </si>
  <si>
    <t xml:space="preserve">ไม้แขวนขาว ไม้แขวนลวด </t>
  </si>
  <si>
    <t>กระดาษA4 ากรู กรรตัดเหล็ก ซีไลน์</t>
  </si>
  <si>
    <t>ร้านค้า</t>
  </si>
  <si>
    <t>ฝอยขัดสแตนเลส</t>
  </si>
  <si>
    <t>ถังดักไขมัน</t>
  </si>
  <si>
    <t>บจก.แชมเปี้ยน</t>
  </si>
  <si>
    <t>มัดจำเครื่องสไลค์</t>
  </si>
  <si>
    <t>ค่าน้ำมันพี่ี่ศัก</t>
  </si>
  <si>
    <t>เครื่องสไลค์</t>
  </si>
  <si>
    <t>บุญโฮม</t>
  </si>
  <si>
    <t>ธาริกันฟู้ด</t>
  </si>
  <si>
    <t>แครปโตะ</t>
  </si>
  <si>
    <t>เงินสด (นุชเติม)</t>
  </si>
  <si>
    <t>บ.เทคทูยู</t>
  </si>
  <si>
    <t>ค่าโปรแกรม</t>
  </si>
  <si>
    <t>ไส้ใหญ่เล็ก นุ่มงาพริกนำผึ้ง สามชั้นงานุ่ม</t>
  </si>
  <si>
    <t>Lakkhanapack co.,Ltd</t>
  </si>
  <si>
    <t>ถาด ของใช้ในช็อป</t>
  </si>
  <si>
    <t>สาริิกา</t>
  </si>
  <si>
    <t>น้ำแข็ง  9 ถุง 35.-</t>
  </si>
  <si>
    <t>ไทยพาณิชย์</t>
  </si>
  <si>
    <t>(ปตท)</t>
  </si>
  <si>
    <t>เติมแก๊ส</t>
  </si>
  <si>
    <t>ค่าใช้จ่าย (โทรศัพท์)</t>
  </si>
  <si>
    <t>สไบA หั่น กรอบตัว หั่น</t>
  </si>
  <si>
    <t>ค่าโทรศัพท์ ทรู (เบอร์k.shop)</t>
  </si>
  <si>
    <t>cp</t>
  </si>
  <si>
    <t>ไก่สด ปีก เครื่องใน ขาซี</t>
  </si>
  <si>
    <t>สันคอชาบู เบคอนสด</t>
  </si>
  <si>
    <t>แพ เจริญ</t>
  </si>
  <si>
    <t>โกบอล</t>
  </si>
  <si>
    <t>กอยโอนเพิ่ม (แอรืโอนขาด)</t>
  </si>
  <si>
    <t>อ่างล้างจาน โคมไฟเพดาน เทปกาว ฟิวเจบอร์ด</t>
  </si>
  <si>
    <t>ทองสุข ชาบู</t>
  </si>
  <si>
    <t>กรุงเทพ</t>
  </si>
  <si>
    <t>สามชั้นลอกหนังแท่ง</t>
  </si>
  <si>
    <t>กุ้ง 40/45 =20 โล  50/55= 20 โล</t>
  </si>
  <si>
    <t>บุญโฮม (บังอร)</t>
  </si>
  <si>
    <t>ขายำหนองคาย</t>
  </si>
  <si>
    <t>ทรัพย์ศาล</t>
  </si>
  <si>
    <t>ถุง12*20 9/18 7*11 16*26</t>
  </si>
  <si>
    <t>ไข่นก 50 แพ็ค</t>
  </si>
  <si>
    <t>ร้อยเอ็ด</t>
  </si>
  <si>
    <t>บ.กันเอง</t>
  </si>
  <si>
    <t>แม็คโค</t>
  </si>
  <si>
    <t>สะดืออ่างซิงค์2หลุม+สก๊อตไบร์ท</t>
  </si>
  <si>
    <t>ทวีวงษ์</t>
  </si>
  <si>
    <t>เปาครีมชีส เปาผสมชีส</t>
  </si>
  <si>
    <t>น้ำแข็ง 8ถุง</t>
  </si>
  <si>
    <t>รถเข็น</t>
  </si>
  <si>
    <t>ทรัพย์ไพศาล</t>
  </si>
  <si>
    <t>ไข่นก50แพ็ค</t>
  </si>
  <si>
    <t>พี่วิน</t>
  </si>
  <si>
    <t>3ชั้นสไลด์ 3ชั้นม้วน</t>
  </si>
  <si>
    <t>ปูทอง ปูอัดชีส ทอนาโด</t>
  </si>
  <si>
    <t>ลา</t>
  </si>
  <si>
    <t>พี่ี่เอก</t>
  </si>
  <si>
    <t>ค่าน้ำประปา</t>
  </si>
  <si>
    <t>พี่เอก ข้อต่อท่อ</t>
  </si>
  <si>
    <t>ตับก้อน 300โล</t>
  </si>
  <si>
    <t>วันหยุด</t>
  </si>
  <si>
    <t>ป้าย</t>
  </si>
  <si>
    <t>พี่อั้ม</t>
  </si>
  <si>
    <t>พี่ักอย</t>
  </si>
  <si>
    <t>ปลาร้า ถุง เบ็ดเตล็ด</t>
  </si>
  <si>
    <t>บ.โปรเห็ด</t>
  </si>
  <si>
    <t>เห็ด200g</t>
  </si>
  <si>
    <t>สไบหั่นกรอยตัว/หั่น</t>
  </si>
  <si>
    <t>ออมสิิน</t>
  </si>
  <si>
    <t>ชื้อของเข้าShop</t>
  </si>
  <si>
    <t>Lกฮ สปาย เหล้าขาว หงส์ทอง</t>
  </si>
  <si>
    <t>สินค้า</t>
  </si>
  <si>
    <t>น้ำจิ้มซีฟู้ด โชกุน 24 ขวด</t>
  </si>
  <si>
    <t>สไบหั่น,กรอบหั่น</t>
  </si>
  <si>
    <t>หมูอร่อยนุ่มงาพริก เบคอน 3ชั้นนุ่มพริก 1 กก ไส้ตันเล็ก</t>
  </si>
  <si>
    <t>พวงประก 35000+4190</t>
  </si>
  <si>
    <t>กรุงศรีี + กรุงไทย</t>
  </si>
  <si>
    <t>น้ำแข็ง 6 ถุง</t>
  </si>
  <si>
    <t>สายยาง คลิปรัดหางปลา</t>
  </si>
  <si>
    <t>ค่าน้ำ</t>
  </si>
  <si>
    <t>โหรพา ชึ้นฉ่าย หอม</t>
  </si>
  <si>
    <t>ค่าใช้จ่าย (ค่าขยะ)</t>
  </si>
  <si>
    <t>ค่าขยะ ก.ค-ก.ย เพิ่มถัง1ถัง</t>
  </si>
  <si>
    <t>น้ำพี่ศัก</t>
  </si>
  <si>
    <t>ค่าแรงปุ้ย 8-14 กค.69</t>
  </si>
  <si>
    <t>ธารารัก</t>
  </si>
  <si>
    <t>กรอบตัว/หั่น</t>
  </si>
  <si>
    <t>บุ้ง กาดขาว หล่ำ 2 ข้าวโพด หอม</t>
  </si>
  <si>
    <t>น้ำมันเต๋า</t>
  </si>
  <si>
    <t>ค่าน้ำมันพี่ี่่ยุท</t>
  </si>
  <si>
    <t>เบิกเงินสดทอนช้อป</t>
  </si>
  <si>
    <t>สันคอ 70โล</t>
  </si>
  <si>
    <t>ค่าแรงปุ้ย8-14กค69</t>
  </si>
  <si>
    <t>น้ำแข็ง  8 ถุง 35.-</t>
  </si>
  <si>
    <t>น้ำแข็ง 3 ถุง 35.-</t>
  </si>
  <si>
    <t>น้กจิ้มคุณนิด</t>
  </si>
  <si>
    <t>เล็ก10 กลาง 10 ใหญ่ 7</t>
  </si>
  <si>
    <t>วุ้นเส้น500 เส้นเกาหลี</t>
  </si>
  <si>
    <t>บุุญสิริ</t>
  </si>
  <si>
    <t>ร้านทุกอย่าง20</t>
  </si>
  <si>
    <t>ผ้าเช็คโต๊ะ</t>
  </si>
  <si>
    <t>เป็ดบดหนังเป็ดเครื่องในเป็ด หน้ากากหมู เกลือ</t>
  </si>
  <si>
    <t>สไบหั่น/ผืน กรอบตัว/หั่น</t>
  </si>
  <si>
    <t>บิ๊กชี</t>
  </si>
  <si>
    <t>น้ำยาล้างจาน</t>
  </si>
  <si>
    <t>3ชั้นงา /นุ่ม</t>
  </si>
  <si>
    <t>คนอร์ มาม่า น้ำอัดลม</t>
  </si>
  <si>
    <t>น้ำกระเทียมดอง</t>
  </si>
  <si>
    <t>งาขาว พริกหม่าล่า น้ำมันหอย ซีวิทเลมอนส้มทับทิบ สิงขวด โซจู น้ำยาถูกพื้น</t>
  </si>
  <si>
    <t>เต๋าเบิก</t>
  </si>
  <si>
    <t>บุญเจริญถาวร</t>
  </si>
  <si>
    <t>ริบอาย44.20</t>
  </si>
  <si>
    <t>ถุง7*11 9*14 10*15 ยึด16*26 14*22 หิ้ว 12*20 9*18</t>
  </si>
  <si>
    <t>ซ่อมรถ</t>
  </si>
  <si>
    <t>ขาตั้ง ตอกคอ น้ำมันเครื่องมอไซค์</t>
  </si>
  <si>
    <t>ปลากาตูน ปูทอง คอมโบ ฯ</t>
  </si>
  <si>
    <t>น้ำดื่ม ซ.โซ 20 แพ็ค/25</t>
  </si>
  <si>
    <t>กุ้ง 70-75/20โล</t>
  </si>
  <si>
    <t>แม่วรรณา (เกรียงชัยชาญ)</t>
  </si>
  <si>
    <t>พรุน 20 ถัง เต้าหู้ปลาแพนด้า 10 หิ้ว</t>
  </si>
  <si>
    <t>อาหารช่าง 3 มื้อ</t>
  </si>
  <si>
    <t>สามชั้นนุ่ม 50 กก</t>
  </si>
  <si>
    <t>ค่าใช้จาย โกลบอลเฮาส์</t>
  </si>
  <si>
    <t xml:space="preserve">เหล็กแป๊ป </t>
  </si>
  <si>
    <t>กุ้งขาว45-50 20 โล</t>
  </si>
  <si>
    <t>ค่าน้ำมัน*ศัก</t>
  </si>
  <si>
    <t>ไส้ ก/ล นุ่ม งา พริก 3นุ่ม</t>
  </si>
  <si>
    <t>ค่าน้ำมัน*แอ๊ด</t>
  </si>
  <si>
    <t xml:space="preserve">กรุงศรี </t>
  </si>
  <si>
    <t>(หักเคลมลอกหนัง 2กก)</t>
  </si>
  <si>
    <t>ไข่นกกระทา</t>
  </si>
  <si>
    <t>กันเอง</t>
  </si>
  <si>
    <t>ชีสบอล30ลูก</t>
  </si>
  <si>
    <t>น้ำ 7 ถัง</t>
  </si>
  <si>
    <t>ค่าคอม พนักงาน</t>
  </si>
  <si>
    <t>พี่ศักดิ์</t>
  </si>
  <si>
    <t>พวประกา</t>
  </si>
  <si>
    <t xml:space="preserve">หินโม่ 8 คิว </t>
  </si>
  <si>
    <t>สามชั้นแผ่น สามชั้นสไลด์</t>
  </si>
  <si>
    <t>สแลนเขียว2เมตร*100หลา</t>
  </si>
  <si>
    <t>หมูบด ตบ จี้ ี่โครง สันคอ สันนอก 3ชั้นแท่ง</t>
  </si>
  <si>
    <t>น้องแพทจ่าย 18000+กรุงศรีง</t>
  </si>
  <si>
    <t>รถไถ เกลี่ยดิน ลากรถ</t>
  </si>
  <si>
    <t>3ชั้นนุ่มงา นุ่มงาเกาหลีพริก</t>
  </si>
  <si>
    <t>ซีเคฟู้ด</t>
  </si>
  <si>
    <t>เต้าหู้ปลาบิ๊กบาส เต้าหู้หมู</t>
  </si>
  <si>
    <t>จี้</t>
  </si>
  <si>
    <t>สันคอแท่ง</t>
  </si>
  <si>
    <t>กรุงศรีี</t>
  </si>
  <si>
    <t>ทองสุขสาขาขอนแก่น</t>
  </si>
  <si>
    <t>น้ำถัง 6 ถัง</t>
  </si>
  <si>
    <t>สาหร่ายยาว ยำสาหร่าย</t>
  </si>
  <si>
    <t>ขอนแก่น</t>
  </si>
  <si>
    <t>เข้าทุน</t>
  </si>
  <si>
    <t>ซีเคฟูดส์</t>
  </si>
  <si>
    <t>ขึ้นฉ่าย กาดขาว บุ้ง หล่ำข้าวโพด</t>
  </si>
  <si>
    <t>เต้าหูู้้หมู</t>
  </si>
  <si>
    <t>ค่่าป้าย</t>
  </si>
  <si>
    <t>เส้นแก้ว10ลัง</t>
  </si>
  <si>
    <t>กรุงศรึ</t>
  </si>
  <si>
    <t>ค่าขนส่ง ผจ5785</t>
  </si>
  <si>
    <t>นายธีระศักดิ์</t>
  </si>
  <si>
    <t>ไส้เล็ก ชาบู สันคอ</t>
  </si>
  <si>
    <t>แบตมอไซค์</t>
  </si>
  <si>
    <t>นายติรทัต</t>
  </si>
  <si>
    <t>บุ้ง 40 หล่ำ 90 โพด 120</t>
  </si>
  <si>
    <t>กุ้งขาว55-60/20โล</t>
  </si>
  <si>
    <t>อาหารช่าง 200+130</t>
  </si>
  <si>
    <t>จี้ก้อน</t>
  </si>
  <si>
    <t>คุณต่าย</t>
  </si>
  <si>
    <t>หมึกอเมริกา</t>
  </si>
  <si>
    <t>8 ถัง</t>
  </si>
  <si>
    <t>บ.ก้าวไกล</t>
  </si>
  <si>
    <t xml:space="preserve">แฮมเหลี่ยม </t>
  </si>
  <si>
    <t>บ.ทรัพย์สมุทร</t>
  </si>
  <si>
    <t>ค่าใช้จ่าย โกลบอลเฮาส์</t>
  </si>
  <si>
    <t>กระพรุนขา /ผ่า4</t>
  </si>
  <si>
    <t xml:space="preserve">ตะแกรง สีสเปรย์  </t>
  </si>
  <si>
    <t>หมึกบั้ง ท้องมอน</t>
  </si>
  <si>
    <t>นายประธง</t>
  </si>
  <si>
    <t>แมลงสดิ้ง จิ้งหรีด</t>
  </si>
  <si>
    <t>รพีพรรณ</t>
  </si>
  <si>
    <t>เม็ททอลส์</t>
  </si>
  <si>
    <t>ซิงค์ มอกDiamond สกรูแปเหล็ก</t>
  </si>
  <si>
    <t>ชาบู3แถว ชาบูถุงใส ลอกหนัง</t>
  </si>
  <si>
    <t>สันนอกแท่ง10โล</t>
  </si>
  <si>
    <t>หมึกดอกไม้ ชิลิ เรด้า หนวดหั่น วง เบบี๋ผ่า เชลล์ฝ่า</t>
  </si>
  <si>
    <t>นายสุทัศน์</t>
  </si>
  <si>
    <t>ว.ประกายพร</t>
  </si>
  <si>
    <t>จิ้งหลีด28 กก 103</t>
  </si>
  <si>
    <t>ดอลลี่หั่นน้ำเงิน</t>
  </si>
  <si>
    <t>ทองสุข ร้อยเอ็ด</t>
  </si>
  <si>
    <t>ชิลี ลอกหนัง แชมป์ ชาบูถุงใส</t>
  </si>
  <si>
    <t>กอย ร้อยเอ็ด</t>
  </si>
  <si>
    <t>ทองสุข สารคาม</t>
  </si>
  <si>
    <t>ค่าน้ำมัน*พี่ศัก</t>
  </si>
  <si>
    <t>ไส้เล็ก ใหญ่ วากาเมะ</t>
  </si>
  <si>
    <t>น้องแพท</t>
  </si>
  <si>
    <t>ค่าน้ำมัน*เต๋า</t>
  </si>
  <si>
    <t>ทองสุข ขอนแก่น</t>
  </si>
  <si>
    <t>ดอลลี่หั่น คอ500 หมึกบั้ง ปูม้า เบบี้จิ๋ว</t>
  </si>
  <si>
    <t>วุ้นเส้น กืเลย500/5สอบ</t>
  </si>
  <si>
    <t>PFP</t>
  </si>
  <si>
    <t>เต้าหู้ชีส ฟองเต้าหู้ซีฟู้ด</t>
  </si>
  <si>
    <t>น้ำถัง 2 ถัง</t>
  </si>
  <si>
    <t>เกาหลี งา นุ่ม พริก 3ชั้นนุ่ม</t>
  </si>
  <si>
    <t>น้ำจิ้ม</t>
  </si>
  <si>
    <t>น้ำจิ้มกิ่งแก้ว</t>
  </si>
  <si>
    <t>ชาบูนมสด</t>
  </si>
  <si>
    <t>น้ำแข็ง 6 ถุง 35.-</t>
  </si>
  <si>
    <t>เทปใส 6 ม้วน ยาฉีดมด</t>
  </si>
  <si>
    <t>ซีเคฟูด</t>
  </si>
  <si>
    <t>เงินสดในมือ 20/7</t>
  </si>
  <si>
    <t>เต้าหูู้หมู</t>
  </si>
  <si>
    <t>สไบหั่น กรอบหั่น กรอบตัว</t>
  </si>
  <si>
    <t>สไบหั่น400โล</t>
  </si>
  <si>
    <t>ไส้ล/ญ นุ่มงาพริก 3ชั้นนุ่มงา เบคอนสด</t>
  </si>
  <si>
    <t>สักนอกแท่ง50โล</t>
  </si>
  <si>
    <t>(โอน4600+4600 )=9200</t>
  </si>
  <si>
    <t xml:space="preserve">บุญโฮม </t>
  </si>
  <si>
    <t>ขายำ หนองคาย 100 โล</t>
  </si>
  <si>
    <t>งาขาว น้ำเทียมดอง1ลัง เกลือ</t>
  </si>
  <si>
    <t>หมึกเครื่องปริ๊น</t>
  </si>
  <si>
    <t>บ.พิพัฒน์</t>
  </si>
  <si>
    <t>ตะเกียบ 30 ลัง</t>
  </si>
  <si>
    <t>บุ้ง 25</t>
  </si>
  <si>
    <t>นุ่มงาเกาหลีพริก 3ชั้นtheone 3ชั้นม้วน 3ชั้นสไลไม่เรียง</t>
  </si>
  <si>
    <t>แผ่นคลิปบอร์ด 37 ลบคำผิด27</t>
  </si>
  <si>
    <t>เปาครีมซีส เปาไข่กุ้ง คอมโบ คานิจัง ปูหลอด ปูอัดไส้ชีส แพนด้า</t>
  </si>
  <si>
    <t>เห็ดเล็ก10 ใหญ่ 2</t>
  </si>
  <si>
    <t>แปรงคัด กระดาษแข็ง</t>
  </si>
  <si>
    <t>สันนอก 50 โล</t>
  </si>
  <si>
    <t>3ชั้นงา หมักพริก บุกม้วน</t>
  </si>
  <si>
    <t>ทองสุข สาขาร้อยเอ็ด</t>
  </si>
  <si>
    <t xml:space="preserve"> บุกขาว 30 ขนมจีบ 80</t>
  </si>
  <si>
    <t>หักเข้าทุน</t>
  </si>
  <si>
    <t>กรอบตัว/หั่น บึงกาฬ 50 โล</t>
  </si>
  <si>
    <t>นุ่มพริกผึ้งเกาหลี 3นุ่ม คุโร บุกม้วล</t>
  </si>
  <si>
    <t xml:space="preserve">กาแฟ กาแฟดำ โอวัลติน </t>
  </si>
  <si>
    <t>อู่ศักดิ์รุ่งโรจน์</t>
  </si>
  <si>
    <t>ซ่อมห้องเย็น</t>
  </si>
  <si>
    <t>ตราชั่งติจิตอล</t>
  </si>
  <si>
    <t>ค่าแคงปุ้ย</t>
  </si>
  <si>
    <t>ค่าแรงปุ้ย 15-21 กค.69</t>
  </si>
  <si>
    <t>โบโลน่า</t>
  </si>
  <si>
    <t>ค่าขนส่ง 2ฒท9351</t>
  </si>
  <si>
    <t>นายชญานนท์ พลรักษ์</t>
  </si>
  <si>
    <t>พวงประกา 4/9 18348.95 (1680+16668.95)</t>
  </si>
  <si>
    <t>เห็ด200กรัม 14ลัง</t>
  </si>
  <si>
    <t>ไส้ใหญ่/นุ่ม/งา/พริก/ผึ้ง/เกาหลี 3ชั้นนุ่ม/งา</t>
  </si>
  <si>
    <t>นุ่มงาพริกเกาหลี 3ชั้นนุ่ม 3ลอกเรียง</t>
  </si>
  <si>
    <t>ดอลลี่ีลังฟ้า 20 ลัง</t>
  </si>
  <si>
    <t>จ่ายวัน 20/7</t>
  </si>
  <si>
    <t>แพ.กุ้งทวีคูณ</t>
  </si>
  <si>
    <t>กุ้งขาว70-75 /24 โล</t>
  </si>
  <si>
    <t>บุ้ง50 หอม 80 หล่ำ100</t>
  </si>
  <si>
    <t>สไบหั่น/ผืน กรอบตัว</t>
  </si>
  <si>
    <t>เต้าหู้ไข่ 5 หื้ว</t>
  </si>
  <si>
    <t>พี่ศักเบิก ซ่อมรถ</t>
  </si>
  <si>
    <t>คานิจังเมก้า เบนโต๊ ปูอัดไส้ชีส แฟนซี เต้าหู้ปลา กุ้งแม็กนั่ม เปาชีส คอมโบ ตัวปลา ก้ามมหาชัย</t>
  </si>
  <si>
    <t>ทวีวงษ์ บ่อ่ะ</t>
  </si>
  <si>
    <t>ท้องม่อน บั้ง</t>
  </si>
  <si>
    <t>ชาบู3แถว ลอกหนัง</t>
  </si>
  <si>
    <t>คิงส์ วิช</t>
  </si>
  <si>
    <t>น้ำถัง 5 ถัง @ 15 บาท</t>
  </si>
  <si>
    <t>บุุญศิริ</t>
  </si>
  <si>
    <t>ดอลลี่ม่วง200ลัง</t>
  </si>
  <si>
    <t>วัสดุสิ้นเปลื้องสำนักงาน</t>
  </si>
  <si>
    <t>คอเปรู ปลาทูจีน ดอลลี่หั่น อาเจนSS</t>
  </si>
  <si>
    <t>พัดลมไล่แมลงวัน</t>
  </si>
  <si>
    <t>รับอาเจน3กก</t>
  </si>
  <si>
    <t>เห็ดเล็ก10 ลัง ใหญ่ 2 ลัง</t>
  </si>
  <si>
    <t>มัน110กก สันคอ100กก</t>
  </si>
  <si>
    <t>เฟรนฟาย7มิล ชิลี หอยเชลล์ เรด้า วงปีก เบบี้</t>
  </si>
  <si>
    <t>ทองสุุขสารคาม</t>
  </si>
  <si>
    <t>อาเจน100/200</t>
  </si>
  <si>
    <t>สไบหั่น ผืน กรอบหั่น /ตัว</t>
  </si>
  <si>
    <t>รับอาเจน247.9กก</t>
  </si>
  <si>
    <t>บารมี</t>
  </si>
  <si>
    <t>ชีสยืด แฟนซี ยำสาหร่าย</t>
  </si>
  <si>
    <t>น้ำแข็ง</t>
  </si>
  <si>
    <t>น้ำแข็ง  2 ถุง 40</t>
  </si>
  <si>
    <t>มันแผ่น50เต๋า30</t>
  </si>
  <si>
    <t xml:space="preserve">สไบผืนA  กรอบหั่น </t>
  </si>
  <si>
    <t xml:space="preserve">ใบสั่งไปเอาปลาดอลลี่ที่อุดร </t>
  </si>
  <si>
    <t>ทองสุข สาขาขอนแก่น</t>
  </si>
  <si>
    <t>ใบสั่งความเร็ว</t>
  </si>
  <si>
    <t>ชิลี5ลัง</t>
  </si>
  <si>
    <t>รถเต๋าไปเอาดอลลี่ อุดร</t>
  </si>
  <si>
    <t>บุ้ง 130 หล่ำ 100</t>
  </si>
  <si>
    <t>ไส้กรอกหนังกรอบ 10 กก</t>
  </si>
  <si>
    <t>ซีเค</t>
  </si>
  <si>
    <t>เต้าหู้หมู 20 โล</t>
  </si>
  <si>
    <t>ค่าขนส่ง</t>
  </si>
  <si>
    <t>มันแผ่น มันเต๋า จี้</t>
  </si>
  <si>
    <t>ค่าส่งสาหร่ายสั้น</t>
  </si>
  <si>
    <t>ทอร์นาโดไข่กุ้ง</t>
  </si>
  <si>
    <t>ลวด 10+ค้อนปอนด้ามไม้</t>
  </si>
  <si>
    <t>น้ำจิ้มกิ่งแก้ว30ขวด</t>
  </si>
  <si>
    <t>ทรูมูฟ</t>
  </si>
  <si>
    <t>ค่าโทรรายเดือนพี่ยุท ครึ่งเดือน</t>
  </si>
  <si>
    <t>นุ่มงาพริิกผึ้งชาบูลอกหนัง 3ชั้นสลค์เรียงมันจี้</t>
  </si>
  <si>
    <t xml:space="preserve">ค่าใช่จ่าย  </t>
  </si>
  <si>
    <t>น้ำมันรถ มอไซค์</t>
  </si>
  <si>
    <t>ค่าใช่จ่าย DIY</t>
  </si>
  <si>
    <t>ไม้ม็อบล้างรถ</t>
  </si>
  <si>
    <t>โบโลน่าผสมหมู 30 แพ็ด</t>
  </si>
  <si>
    <t>ดอลลลี่ม่วง 200 ลัง</t>
  </si>
  <si>
    <t>3ชั้นนุ่มงา หมักพริกเกาหลีคุโรบุตะบุกม้วน</t>
  </si>
  <si>
    <t>กุ้งก้าม13-15 /5โล</t>
  </si>
  <si>
    <t>เมก้า เบนโตะ ปูอัดชีส แองกี้ ฟรุ้ตตี้ เต้าหู้ปลา เปาชีส คอมโบ ตัวปลา ก้ามมหาชัย</t>
  </si>
  <si>
    <t>แพทวี</t>
  </si>
  <si>
    <t>กุ้งขาว70-75 /20 โล</t>
  </si>
  <si>
    <t>ลักขณา</t>
  </si>
  <si>
    <t>ทองสุุข ร้อยเอ็ด</t>
  </si>
  <si>
    <t>ถ้วยพลาสติก ใหญ2=1570/เล็ก1=720</t>
  </si>
  <si>
    <t>ขนมจีบไส้ทะลัก 10 หิ้ว 100 แพ็ค</t>
  </si>
  <si>
    <t>สันคอแท่ง30กก</t>
  </si>
  <si>
    <t>ตับก้อน/หั่น</t>
  </si>
  <si>
    <t xml:space="preserve"> เวิลด์เนท</t>
  </si>
  <si>
    <t>สาหร่ายสั้น</t>
  </si>
  <si>
    <t>นุ่มงาพริก สามชั้น นุ่มงาพริก</t>
  </si>
  <si>
    <t>3ชั้นงานุ่ม นุ่มงาพริกผึ้ง</t>
  </si>
  <si>
    <t>ต้น</t>
  </si>
  <si>
    <t>กระพรุนผ่า</t>
  </si>
  <si>
    <t>หมูปิ้งนมสด</t>
  </si>
  <si>
    <t>น้ำแข็ง 1 ถุง 35.-</t>
  </si>
  <si>
    <t>ผึ้ว  vpk</t>
  </si>
  <si>
    <t>คอ อาเจน ดอลลี่หั่น</t>
  </si>
  <si>
    <t>เส้นแก้ว บุกขาวไข่</t>
  </si>
  <si>
    <t>ฮะนานบีฟ</t>
  </si>
  <si>
    <t>ผักบุ้ง</t>
  </si>
  <si>
    <t>โครง ใบไม้ เสือออส เนื้อสันคอ</t>
  </si>
  <si>
    <t>ผึ้้ง เคอเร้น</t>
  </si>
  <si>
    <t>ชิลีL เรด้า วง หัวผ่า วงติดปีก เนื้อหอย</t>
  </si>
  <si>
    <t>นายวราวุฒิ ชนพิมาย</t>
  </si>
  <si>
    <t>น้ำ 2  ถัง</t>
  </si>
  <si>
    <t>ค่าใช้จ่าย DIY</t>
  </si>
  <si>
    <t>ปลั๊กไฟ คัตเตอร์ ปากกา เครื่องคิดเลข ปากกาเมจิก ซ็อคฆ่ามด</t>
  </si>
  <si>
    <t>แมงสะดิ้ง27กก(103) จิ้งหรีด27กก (103)</t>
  </si>
  <si>
    <t>บุ้ง ข้าวโพด หอม ขึ้นฉ่าย</t>
  </si>
  <si>
    <t>เติมแก๊ชถัง</t>
  </si>
  <si>
    <t>คิงวิช</t>
  </si>
  <si>
    <t>ปูอัดเอ</t>
  </si>
  <si>
    <t>สน สำเภาทอง</t>
  </si>
  <si>
    <t>ลอกหนัง 3แภว</t>
  </si>
  <si>
    <t xml:space="preserve">คำตัน </t>
  </si>
  <si>
    <t>เดือน</t>
  </si>
  <si>
    <t>ลูกชิ้นแฟนซี</t>
  </si>
  <si>
    <t>ลูกล็อกสกรู</t>
  </si>
  <si>
    <t>พี่วิน ซื้อ</t>
  </si>
  <si>
    <t>ไส้เล็ก150 ใหญ่ 30</t>
  </si>
  <si>
    <t>หมึกบั้ง</t>
  </si>
  <si>
    <t>กาแฟ โค้ก สิงห์ น้ำยาถูกพื้น/ล้างจาน</t>
  </si>
  <si>
    <t xml:space="preserve">หมูพริก คุโรบุตะ </t>
  </si>
  <si>
    <t xml:space="preserve">โอนจ่าย </t>
  </si>
  <si>
    <t>อุปกรณตกแต่งไฟสวยงาม</t>
  </si>
  <si>
    <t>สไบหั่น200</t>
  </si>
  <si>
    <t>กุ้งแม็กนัมแองจี้ทอร์นาโด</t>
  </si>
  <si>
    <t>ดอลลี่ฟ้า30ลัง</t>
  </si>
  <si>
    <t>กุ้ง70-75 20กก</t>
  </si>
  <si>
    <t>ไข่นก 100</t>
  </si>
  <si>
    <t>เปาทูโทนไส้กุ้ง/เต้าชีส</t>
  </si>
  <si>
    <t>กสิกรไทย</t>
  </si>
  <si>
    <t>เบคอนรมควัน/เบคอนไส้กรอก/ไข่นก</t>
  </si>
  <si>
    <t>นำฝาก</t>
  </si>
  <si>
    <t>สามชั้นแท่ง330กก</t>
  </si>
  <si>
    <t>เสือออส</t>
  </si>
  <si>
    <t>ปูทองกุ้งแม็กซูซูปูหลอดเปาครีมแองเมก้า</t>
  </si>
  <si>
    <t>ธ.กรุงไทย</t>
  </si>
  <si>
    <t>ต่าง สาขา</t>
  </si>
  <si>
    <t>(โอน3180+19000=22180)</t>
  </si>
  <si>
    <t>สันนอกแท่ง190กก</t>
  </si>
  <si>
    <t>ธรรมเนียมนับเหรียญ</t>
  </si>
  <si>
    <t>เกาหลี นุ่ม</t>
  </si>
  <si>
    <t>เงินฝาก 20/8</t>
  </si>
  <si>
    <t>ดอลลี่ม่าง 100 ลัง 51000</t>
  </si>
  <si>
    <t>สันคอแท่ง50กก</t>
  </si>
  <si>
    <t>ถ้วยพลาสติก ใส่หมูทะ2500/2000</t>
  </si>
  <si>
    <t>น้ำแข็ง 5 ถุง 35.-</t>
  </si>
  <si>
    <t>ผักบุ้ง+หล่ำ</t>
  </si>
  <si>
    <t>รากหน่อไม้ฝรั่ง ของนุชพี่เอก</t>
  </si>
  <si>
    <t>ขายยำ</t>
  </si>
  <si>
    <t>ตะเกียบ 50คู่ 40 แพ็ค</t>
  </si>
  <si>
    <t>วุ้นเส้น เส้นเกาหลี</t>
  </si>
  <si>
    <t>ฟ้าไทย</t>
  </si>
  <si>
    <t>ซุปชาบู ซุปแจ่วฮ้อน</t>
  </si>
  <si>
    <t>ส.ค 1-19</t>
  </si>
  <si>
    <t>น้ำจิ้มซีฟู้ด โซกุน 24 ขวด</t>
  </si>
  <si>
    <t>เห็ด14ลัง</t>
  </si>
  <si>
    <t>กาดหล่ำบุ่ง</t>
  </si>
  <si>
    <t>โอนรวม 12480</t>
  </si>
  <si>
    <t>คอ500 สอบ14 กก 36 สอบ</t>
  </si>
  <si>
    <t>เต๋า เบิก</t>
  </si>
  <si>
    <t xml:space="preserve">สไบหั่น/ผืน กรอบตัว/หั่น </t>
  </si>
  <si>
    <t>ถุง 8*12</t>
  </si>
  <si>
    <t>เห็ดเล็ก 10 ลัง ใหญ่ 2 ลัง</t>
  </si>
  <si>
    <t>6ถัง @15บาท</t>
  </si>
  <si>
    <t>บุญโฮม ขายำ</t>
  </si>
  <si>
    <t>กระดาษ 2 รีม</t>
  </si>
  <si>
    <t>ตะกร้า5ใบ</t>
  </si>
  <si>
    <t xml:space="preserve">พี่ศักเบิก </t>
  </si>
  <si>
    <t>สไบหั่น 200 กรอบหั่น100</t>
  </si>
  <si>
    <t>นายสุทัสน์</t>
  </si>
  <si>
    <t>จิ้งหรีด 28 กก แมงสะดิ้ง 28 กก</t>
  </si>
  <si>
    <t>เห็ด14 ลัง ใหญ่ 1</t>
  </si>
  <si>
    <t>น้ำจิ้มน้ำตาลซอสพริกมะเขือ</t>
  </si>
  <si>
    <t>3ชั้นแผ่น มันเต๋า จี้</t>
  </si>
  <si>
    <t>น้ำถัง10ถัง</t>
  </si>
  <si>
    <t>ตับก้อน 228 กก.</t>
  </si>
  <si>
    <t>โอน 15720 (1680+1740+1000+11300) คำตัน กรุงไทย</t>
  </si>
  <si>
    <t>สไบผืนหั่น กรอบตัว หั่น</t>
  </si>
  <si>
    <t>ทรัพยไพศาล</t>
  </si>
  <si>
    <t>3ชั้นสไล ถุง1กก</t>
  </si>
  <si>
    <t>เส้นแก้ว10 ลัง</t>
  </si>
  <si>
    <t>ไข่นก เบคอนพันไส้กรอก</t>
  </si>
  <si>
    <t>สันนอกแท่่ง</t>
  </si>
  <si>
    <t>หล่ำ100โพด120บุ้ง50หนังยาง55</t>
  </si>
  <si>
    <t>กิ่งแก้ว</t>
  </si>
  <si>
    <t>ไม้ถูกพื้นพร้อมถัง</t>
  </si>
  <si>
    <t>เกาหลี งา นุ่ม สามชั้นม้วน</t>
  </si>
  <si>
    <t>ค่าน้ำมัน*พี่ยุท</t>
  </si>
  <si>
    <t>น้ำจิ้มกิ่งแก้ว20ขวด</t>
  </si>
  <si>
    <t>เส้นแก้ว</t>
  </si>
  <si>
    <t>ดักแก้ 10 ลัง ดอลลี่ฟ้าขาว30ลัง</t>
  </si>
  <si>
    <t>คอ500 สอบ14 กก 72 สอบ</t>
  </si>
  <si>
    <t xml:space="preserve">กสิกร </t>
  </si>
  <si>
    <t>(ยืมแอร์)</t>
  </si>
  <si>
    <t>มันแผ่น</t>
  </si>
  <si>
    <t>เกาหลีงานุ่มพริก 3ชั้นนุ่ม 3ชั้นนุ่มone</t>
  </si>
  <si>
    <t>โอน  21/8 7655 (2580+825+4250)</t>
  </si>
  <si>
    <t>3ชั้น3A 3งา 3เรียง 3ชั้นง/นุ่ม1กก ชาบูลอกหนัง นุ่มผึ้งงาพริก 1/5</t>
  </si>
  <si>
    <t>ไส้ตัน ไส้ลวก ไส้อ่อน</t>
  </si>
  <si>
    <t>3นุ่ม/งา นุ่มงาพริกเกาหลี</t>
  </si>
  <si>
    <t>หมูปิ้งไม้ 8 แพ็ค เล็ก4แพ็ค</t>
  </si>
  <si>
    <t>เอ็มเอพีฟู้ด</t>
  </si>
  <si>
    <t>ซาลาเปาครีม/หมูสับ</t>
  </si>
  <si>
    <t>เงินทอน</t>
  </si>
  <si>
    <t>สามชั้นสไล40กก ถุง1กก</t>
  </si>
  <si>
    <t>กระดาษA4</t>
  </si>
  <si>
    <t>โอน11/9 26490 (6960+2260+3150+5080+9040)</t>
  </si>
  <si>
    <t>สันคอแท่ง20กก</t>
  </si>
  <si>
    <t>1/</t>
  </si>
  <si>
    <t>/</t>
  </si>
  <si>
    <t>จี้ 85 กก.</t>
  </si>
  <si>
    <t>ไส้อ่อน40กก</t>
  </si>
  <si>
    <t>สไบหั่น300</t>
  </si>
  <si>
    <t>บุกม้วน</t>
  </si>
  <si>
    <t>ผักบุ้ง หล่ำ หอม</t>
  </si>
  <si>
    <t>ถ้วยพลาสติก2000 720 /3000 785 2 ลัง</t>
  </si>
  <si>
    <t>ทรู</t>
  </si>
  <si>
    <t>ค่าเน็ตร้าน</t>
  </si>
  <si>
    <t>สันนอก 50 กก</t>
  </si>
  <si>
    <t>ค่าเน็ตรายเดือนร้าน</t>
  </si>
  <si>
    <t>ค่าขนส่ง ผท8257</t>
  </si>
  <si>
    <t>นายนวพล  ลาสุนนท์</t>
  </si>
  <si>
    <t>ซุปหม่าล่า 40 ก้อน</t>
  </si>
  <si>
    <t xml:space="preserve">น้ำถัง </t>
  </si>
  <si>
    <t>5 ถัง*15</t>
  </si>
  <si>
    <t>หมึกบั้ง กุ้งเด้ง31/40 51/60 หอยเชลฝา</t>
  </si>
  <si>
    <t>ปลาทูรุ่งเรือง</t>
  </si>
  <si>
    <t>ปลาทู50ลัง</t>
  </si>
  <si>
    <t>ไส้ลวก50 กก</t>
  </si>
  <si>
    <t>หจก.ทองสุขโฟรเซนฟู้ด</t>
  </si>
  <si>
    <t>สินเจริญ</t>
  </si>
  <si>
    <t>พรุน10ถัง</t>
  </si>
  <si>
    <t>น.ส.ธันย์รวินท์</t>
  </si>
  <si>
    <t>อาเเจนs 150 กก/ss203กก</t>
  </si>
  <si>
    <t>ธาริกันฟู้ดส์</t>
  </si>
  <si>
    <t>แครปโตะ 3 ลัง</t>
  </si>
  <si>
    <t>ก้าวไกลฟู้ด</t>
  </si>
  <si>
    <t>แฮมแผ่น</t>
  </si>
  <si>
    <t xml:space="preserve">หมึกกระดอง ดอลลี่หั่น </t>
  </si>
  <si>
    <t>วง ชิลี หนวดหั่น เรด้า เบบี้ผ่า</t>
  </si>
  <si>
    <t>นุ่มพริกงานผึ้งเกาหลี 3นุ่ม/งา คุโรบุตะ บุกม้วน</t>
  </si>
  <si>
    <t>บุ้ง 80 หล่ำ80 โพด120</t>
  </si>
  <si>
    <t>สำเภา</t>
  </si>
  <si>
    <t>ชาบู3แถว</t>
  </si>
  <si>
    <t>สไบผืน150 กรอบตัว150/หั่น100</t>
  </si>
  <si>
    <t>ปูทอง 5 เปาชีส5</t>
  </si>
  <si>
    <t>สามชั้นสไลด์ 20 กก /จี้50กก</t>
  </si>
  <si>
    <t>หอยภู่ต้ม 20 ถุง ไข่นก 20 ถุง</t>
  </si>
  <si>
    <t>น้ำถัง 3 ถัง</t>
  </si>
  <si>
    <t>น้ำจิ้มกิ่งแก้ว 30 ขวด/27</t>
  </si>
  <si>
    <t>สันคอ 140 กก</t>
  </si>
  <si>
    <t>กาแฟ3/1 โคักป๋องลีโอป๋อง น้ำยาล้างจานล้างมือถูกพื้น</t>
  </si>
  <si>
    <t>สไบหั่น200 กรอบตัว150</t>
  </si>
  <si>
    <t>นุ่ม100 คุโร50</t>
  </si>
  <si>
    <t>เกาหลีงานุ่มพริก 3นุ่ม 3ลอกเรียง</t>
  </si>
  <si>
    <t>ค่าใช้จ่าย (ซ่อมรถ)</t>
  </si>
  <si>
    <t>บ้านรุ่งเรือน</t>
  </si>
  <si>
    <t>เส้นหนึบ6ลัง /890</t>
  </si>
  <si>
    <t>3ชั้นแผ่น99.40กก จี้ 50กก</t>
  </si>
  <si>
    <t>ถุงยืด20*30 16*26 14*22 ถุงดำ หิ้ว6*14 /*16</t>
  </si>
  <si>
    <t>เส้นกิเลน500/200 เส้นเกาหลี</t>
  </si>
  <si>
    <t>ชาบูนมสดนับเบอวัน</t>
  </si>
  <si>
    <t>สันนอก50กก</t>
  </si>
  <si>
    <t>น้ำจิ้มแชมป์1000กรัม/5ลัง</t>
  </si>
  <si>
    <t>ค่าขนส่ง 4ฒข6106</t>
  </si>
  <si>
    <t>นายพรประเสริฐ บุระ</t>
  </si>
  <si>
    <t>สไบหั่น200กก</t>
  </si>
  <si>
    <t>น่องลาย</t>
  </si>
  <si>
    <t>หล่ำ 80 บุ้ง 45 ข้าวโพด 120</t>
  </si>
  <si>
    <t>โอน 13/9 4260 (2260+2000)</t>
  </si>
  <si>
    <t>สันนอกแท่ง</t>
  </si>
  <si>
    <t>ชาบููนมสด</t>
  </si>
  <si>
    <t>ธนภรณ์</t>
  </si>
  <si>
    <t>กระพรุณ180ถัง</t>
  </si>
  <si>
    <t>ส่วนตัว รอโอนคืน</t>
  </si>
  <si>
    <t>โอนคืนแล้ว</t>
  </si>
  <si>
    <t>เห็ด200/14ลัง</t>
  </si>
  <si>
    <t>ไส้กรอกหนังกรอบ5โล</t>
  </si>
  <si>
    <t>สำนักงานบัญชี</t>
  </si>
  <si>
    <t>ค่าจัดตั้ง บริษัท โพนพิสัย</t>
  </si>
  <si>
    <t>ท็อป</t>
  </si>
  <si>
    <t>ไส้เล็ก100 นุ่ม30งา10พริก20</t>
  </si>
  <si>
    <t>เต้าหู้ไข่7ถุง</t>
  </si>
  <si>
    <t>โกตา</t>
  </si>
  <si>
    <t>จี้10กก</t>
  </si>
  <si>
    <t>4 ถัง/ 15 บาท</t>
  </si>
  <si>
    <t>เนื้อสันคอ 46กก น่อง48.40กก</t>
  </si>
  <si>
    <t>สันนอก10กก</t>
  </si>
  <si>
    <t>3ชั้นสไล20กก</t>
  </si>
  <si>
    <t>โอน 13/9 2130 (1000+1130)</t>
  </si>
  <si>
    <t>สันคอ 10กก</t>
  </si>
  <si>
    <t>3ชั้น3A ชาบู ลอกหนัง</t>
  </si>
  <si>
    <t>โอน 13/9 1590 (765+825)</t>
  </si>
  <si>
    <t>มันเต๋า10 จี้5กก</t>
  </si>
  <si>
    <t>สันนอกแท่งเบ24กก.</t>
  </si>
  <si>
    <t>ไข่นก50ถุง</t>
  </si>
  <si>
    <t>ค่าไฟ</t>
  </si>
  <si>
    <t>ค่าไฟ เดือน ส.ค</t>
  </si>
  <si>
    <t>สไบหั่น100ผืน50กรอบตัว150</t>
  </si>
  <si>
    <t>ถุงมือยาง1กล่อง</t>
  </si>
  <si>
    <t>โบโลน่า20ถุง</t>
  </si>
  <si>
    <t>คำตัน 29/8  22440(1140+21300)</t>
  </si>
  <si>
    <t>สันคอ 100 สันนอก100</t>
  </si>
  <si>
    <t>บุ้ง35 หล่ำ100 หอม90</t>
  </si>
  <si>
    <t xml:space="preserve">แอ๊ดเบิก </t>
  </si>
  <si>
    <t>บุ้ง 60 หอม 70</t>
  </si>
  <si>
    <t xml:space="preserve">เห็ดหูหนูขาวแห็ง1ลัง </t>
  </si>
  <si>
    <t>ดอลลี่ฟ้า 30 ลัง</t>
  </si>
  <si>
    <t xml:space="preserve">จี้ี้ 20 กก </t>
  </si>
  <si>
    <t>พีโอซี</t>
  </si>
  <si>
    <t>ริบอาย49.50กก</t>
  </si>
  <si>
    <t>ค่่าใช้จ่าย Diy</t>
  </si>
  <si>
    <t>กระดานไวท์บอร์ด ตะขอติดผนัง</t>
  </si>
  <si>
    <t>สไบหั่น300 กรอบหั่น150</t>
  </si>
  <si>
    <t>ขายำ100กก</t>
  </si>
  <si>
    <t>ปูทองเบนโตะเปาชีสแองกี้ฟองเต้าหู้กุ้งแม็กนั่มคอมโบเปาไส้กุ้งเต้าหู้ผสมชีส</t>
  </si>
  <si>
    <t>น้ำจิ้มกิ่งแก้ว 30 ขวด</t>
  </si>
  <si>
    <t>แม็ค อุดร</t>
  </si>
  <si>
    <t>หมึกเมกา 50 ลัง 57500+1500 (ค่าส่ง)</t>
  </si>
  <si>
    <t>พวงปรกา</t>
  </si>
  <si>
    <t>เบนโตะ เปาชีส</t>
  </si>
  <si>
    <t xml:space="preserve">พี่ยุทเบิก </t>
  </si>
  <si>
    <t xml:space="preserve">นาเบิก </t>
  </si>
  <si>
    <t>ค่าขนส่ง บค6771</t>
  </si>
  <si>
    <t>นายกิติพงษ์ ศิริวงขันธ์</t>
  </si>
  <si>
    <t>วุ้นเส้น</t>
  </si>
  <si>
    <t>เหล็กทำคอกห้องเย็น</t>
  </si>
  <si>
    <t>อาหารช่าง+ข้าวเหนียว</t>
  </si>
  <si>
    <t>สไบหั่น300ผืน100</t>
  </si>
  <si>
    <t>สามชั้ั้นแผ่น98.68กก</t>
  </si>
  <si>
    <t>เกาหลีงานุ่มพริก 3ชั้นtheone 3ลอกเรียง</t>
  </si>
  <si>
    <t>นุ่ม100กก</t>
  </si>
  <si>
    <t>ไส้ตันสดแช่แข็ง หมูบด สันคอแท่ง สันนอกแท่ง</t>
  </si>
  <si>
    <t>สันคอ100กก</t>
  </si>
  <si>
    <t>เต้าหู้ชีส8ลัง</t>
  </si>
  <si>
    <t>ฟองเต้าหู้ทอดปลาการ์ตูน ทูโทนไข่กุ้ง นักเก็ต ไก่ป๊อป ไส้ญ/ล ดักแด้ ขนมจีบ</t>
  </si>
  <si>
    <t>ซันเหยียน</t>
  </si>
  <si>
    <t>หอยหวาน20/30</t>
  </si>
  <si>
    <t>ปลาทูจีน</t>
  </si>
  <si>
    <t xml:space="preserve">จี้1 กก </t>
  </si>
  <si>
    <t>ธันย์รวินท์</t>
  </si>
  <si>
    <t>ไส้เล็ก เบคอนสด นุ่มงาพริกผึ้ง</t>
  </si>
  <si>
    <t>ท้องม่อน บั้ง หมูเด้ง หอยหวาน50/80 10/20 หอยเชลฝาเดียว</t>
  </si>
  <si>
    <t xml:space="preserve">ชาบู3แถว </t>
  </si>
  <si>
    <t>สไบหั่น 300 กรอบตัว200หั่น100</t>
  </si>
  <si>
    <t>รุ่งซีฟุ้ด</t>
  </si>
  <si>
    <t xml:space="preserve">หมึกกระดอง </t>
  </si>
  <si>
    <t>ดอลลี่น้ำเงิน อาเจน</t>
  </si>
  <si>
    <t>ผักบุ้ง30</t>
  </si>
  <si>
    <t xml:space="preserve">ชิลี เนื้อเชล/แครง/ภู่ เรด้า เบบี้ เฟรน7 </t>
  </si>
  <si>
    <t xml:space="preserve">แจงเบิก </t>
  </si>
  <si>
    <t>จี้50กก</t>
  </si>
  <si>
    <t>แฟนซี ยำสาหร่าย</t>
  </si>
  <si>
    <t>สามชั้นแผ่น47.25 มันเต๋า 5จี้15</t>
  </si>
  <si>
    <t>ผักบุ้ง60</t>
  </si>
  <si>
    <t xml:space="preserve">เต๋าเบิก </t>
  </si>
  <si>
    <t>ริสกี้</t>
  </si>
  <si>
    <t>สไบผืน50หั่น100กรอบตัว150หั่น100</t>
  </si>
  <si>
    <t>ไข่่นก50</t>
  </si>
  <si>
    <t>สันคอ50</t>
  </si>
  <si>
    <t>พีเอฟพี</t>
  </si>
  <si>
    <t>เต้าหู้ชีสPFP15ลัง /ฟองเต้าหู้ซีฟู้ด15ลัง</t>
  </si>
  <si>
    <t>ถุงมือ3กล่อง</t>
  </si>
  <si>
    <t>สไบหั่น200/ผืน50 กรอบตัว50หั่น50</t>
  </si>
  <si>
    <t>นุ่มพริกเกาหลี 3ชั้นtheone</t>
  </si>
  <si>
    <t>ตับ100กก</t>
  </si>
  <si>
    <t>เต้าหู้ไข่4หิ้ว</t>
  </si>
  <si>
    <t>คำตัน 18/9  2120(1100+1020)</t>
  </si>
  <si>
    <t>มัมเต๋า10จี้10</t>
  </si>
  <si>
    <t>ถ้วยพลาติก3000/2ลัง (785) 2000/2ลัง (720)</t>
  </si>
  <si>
    <t>ดอลลี่ม่วง 250 ลัง</t>
  </si>
  <si>
    <t>พวงประก่า</t>
  </si>
  <si>
    <t>สันคอ150กก</t>
  </si>
  <si>
    <t>นุ่มงาผึ้งพริก ไส้เล็ก</t>
  </si>
  <si>
    <t>หมูปิ้งโบราณไม้เล็ก/ไม้ อย่างละ 1 หิ้ว</t>
  </si>
  <si>
    <t>เส้นแก้ว ชาบูนมสด /ลอกหนัง นับเบอร์วัน</t>
  </si>
  <si>
    <t>ข้าวโพด 120 หล่ำ 100 บุ้ง 60</t>
  </si>
  <si>
    <t>ท็อป โพนพิสัย</t>
  </si>
  <si>
    <t>เห็ดแห้ง5ห่อ</t>
  </si>
  <si>
    <t>3ชั้นแผ่น จี้</t>
  </si>
  <si>
    <t>3ชั้นสไลค์</t>
  </si>
  <si>
    <t>สไบหั่น250 กรอบตัว30/หั่น20</t>
  </si>
  <si>
    <t>น้ำแข็ง 3ถุง 35.-</t>
  </si>
  <si>
    <t>ค่าน้ำมัน*แอ๊ด พี่ยุทเติม</t>
  </si>
  <si>
    <t>ช้อปทรู</t>
  </si>
  <si>
    <t>โทรศัพท์ ViVoY05 4599+ซิม49+เน็ต100</t>
  </si>
  <si>
    <t>นุ่มพริกผึ้งหม่าล่า 3ชั้นงา คุโร</t>
  </si>
  <si>
    <t>จี้ 40กก ตับ 100 กก</t>
  </si>
  <si>
    <t>สไบหั่น100/ผืน100 กรอบตัว150/หั่น100</t>
  </si>
  <si>
    <t>ค่าน้ำมัน*เต๋า 1427  พี่ยุทเติม</t>
  </si>
  <si>
    <t>บุ้ง 80 หล่ำ 100</t>
  </si>
  <si>
    <t>สามชั้นแผ่น 97.50 กก มันเต๋า15กก จี้ 3กก</t>
  </si>
  <si>
    <t>เสือออสแผ่นใหญ่45.084กก</t>
  </si>
  <si>
    <t>สันคอแท่ง 80กก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</si>
</sst>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"/>
    <numFmt numFmtId="165" formatCode="#,##0.0"/>
    <numFmt numFmtId="166" formatCode="d/M/yyyy"/>
    <numFmt numFmtId="167" formatCode="d-m"/>
  </numFmts>
  <fonts count="14">
    <font>
      <sz val="10.0"/>
      <color rgb="FF000000"/>
      <name val="Arial"/>
      <scheme val="minor"/>
    </font>
    <font>
      <b/>
      <sz val="11.0"/>
      <color rgb="FF0000FF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  <font>
      <color theme="1"/>
      <name val="Arial"/>
    </font>
    <font>
      <b/>
      <sz val="14.0"/>
      <color rgb="FFFF0000"/>
      <name val="Arial"/>
      <scheme val="minor"/>
    </font>
    <font>
      <b/>
      <sz val="13.0"/>
      <color rgb="FFFF0000"/>
      <name val="Arial"/>
      <scheme val="minor"/>
    </font>
    <font>
      <b/>
      <sz val="12.0"/>
      <color rgb="FFFF0000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b/>
      <sz val="13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CC0000"/>
        <bgColor rgb="FFCC0000"/>
      </patternFill>
    </fill>
  </fills>
  <borders count="62">
    <border/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FF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thick">
        <color rgb="FF0000FF"/>
      </left>
      <top style="thick">
        <color rgb="FF0000FF"/>
      </top>
    </border>
    <border>
      <left style="thin">
        <color rgb="FF000000"/>
      </left>
      <right style="thin">
        <color rgb="FF000000"/>
      </right>
      <top style="thick">
        <color rgb="FF0000FF"/>
      </top>
    </border>
    <border>
      <top style="thick">
        <color rgb="FF0000FF"/>
      </top>
    </border>
    <border>
      <left style="thin">
        <color rgb="FF000000"/>
      </left>
      <right style="thick">
        <color rgb="FF0000FF"/>
      </right>
      <top style="thick">
        <color rgb="FF0000FF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FF"/>
      </right>
      <top style="thick">
        <color rgb="FF0000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FF"/>
      </righ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FF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top style="thin">
        <color rgb="FF000000"/>
      </top>
      <bottom style="thick">
        <color rgb="FF0000FF"/>
      </bottom>
    </border>
    <border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ck">
        <color rgb="FF0000FF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FF"/>
      </left>
      <right style="thin">
        <color rgb="FF000000"/>
      </right>
    </border>
    <border>
      <left style="thin">
        <color rgb="FF000000"/>
      </left>
      <top style="thick">
        <color rgb="FF0000FF"/>
      </top>
      <bottom style="thin">
        <color rgb="FF000000"/>
      </bottom>
    </border>
    <border>
      <right style="thin">
        <color rgb="FF000000"/>
      </right>
      <top style="thick">
        <color rgb="FF0000FF"/>
      </top>
      <bottom style="thin">
        <color rgb="FF000000"/>
      </bottom>
    </border>
    <border>
      <left style="thin">
        <color rgb="FF000000"/>
      </left>
      <right style="thick">
        <color rgb="FF0000FF"/>
      </right>
      <top style="thin">
        <color rgb="FF000000"/>
      </top>
    </border>
    <border>
      <left style="thick">
        <color rgb="FF0000FF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</border>
    <border>
      <left style="thick">
        <color rgb="FF0000FF"/>
      </left>
      <top style="thin">
        <color rgb="FF000000"/>
      </top>
      <bottom style="thick">
        <color rgb="FF0000FF"/>
      </bottom>
    </border>
    <border>
      <left style="thick">
        <color rgb="FF0000FF"/>
      </left>
    </border>
    <border>
      <right style="thick">
        <color rgb="FF0000FF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FF"/>
      </bottom>
    </border>
    <border>
      <bottom style="thick">
        <color rgb="FF0000FF"/>
      </bottom>
    </border>
    <border>
      <left style="medium">
        <color rgb="FF0000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FF"/>
      </right>
      <bottom style="thin">
        <color rgb="FF000000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FF"/>
      </right>
      <top style="thin">
        <color rgb="FF000000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FF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FF"/>
      </right>
    </border>
    <border>
      <left style="thick">
        <color rgb="FF0000FF"/>
      </left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dotted">
        <color rgb="FF0000FF"/>
      </left>
      <right style="dotted">
        <color rgb="FF0000FF"/>
      </right>
      <top style="dotted">
        <color rgb="FF0000FF"/>
      </top>
      <bottom style="dotted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ck">
        <color rgb="FF0000FF"/>
      </left>
      <top style="thick">
        <color rgb="FF0000FF"/>
      </top>
      <bottom style="thin">
        <color rgb="FF000000"/>
      </bottom>
    </border>
    <border>
      <left style="thick">
        <color rgb="FF0000FF"/>
      </left>
      <right style="thin">
        <color rgb="FF000000"/>
      </right>
      <bottom style="thick">
        <color rgb="FF0000FF"/>
      </bottom>
    </border>
    <border>
      <left style="thick">
        <color rgb="FF0000FF"/>
      </left>
      <right style="thin">
        <color rgb="FF0000FF"/>
      </right>
      <top style="thick">
        <color rgb="FF0000FF"/>
      </top>
    </border>
    <border>
      <left style="thin">
        <color rgb="FF0000FF"/>
      </left>
      <right style="thin">
        <color rgb="FF0000FF"/>
      </right>
      <top style="thick">
        <color rgb="FF0000FF"/>
      </top>
    </border>
    <border>
      <left style="thin">
        <color rgb="FF0000FF"/>
      </left>
      <right style="thick">
        <color rgb="FF0000FF"/>
      </right>
      <top style="thick">
        <color rgb="FF0000FF"/>
      </top>
    </border>
    <border>
      <left style="thick">
        <color rgb="FF0000FF"/>
      </left>
      <right style="thin">
        <color rgb="FF0000FF"/>
      </right>
      <bottom style="thick">
        <color rgb="FF0000FF"/>
      </bottom>
    </border>
    <border>
      <left style="thin">
        <color rgb="FF0000FF"/>
      </left>
      <right style="thin">
        <color rgb="FF0000FF"/>
      </right>
      <bottom style="thick">
        <color rgb="FF0000FF"/>
      </bottom>
    </border>
    <border>
      <left style="thin">
        <color rgb="FF0000FF"/>
      </left>
      <right style="thick">
        <color rgb="FF0000FF"/>
      </right>
      <bottom style="thick">
        <color rgb="FF0000FF"/>
      </bottom>
    </border>
  </borders>
  <cellStyleXfs count="1">
    <xf borderId="0" fillId="0" fontId="0" numFmtId="0" applyAlignment="1" applyFont="1"/>
  </cellStyleXfs>
  <cellXfs count="3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4" xfId="0" applyAlignment="1" applyBorder="1" applyFill="1" applyFont="1" applyNumberFormat="1">
      <alignment readingOrder="0"/>
    </xf>
    <xf borderId="1" fillId="2" fontId="1" numFmtId="3" xfId="0" applyAlignment="1" applyBorder="1" applyFill="1" applyFont="1" applyNumberFormat="1">
      <alignment readingOrder="0"/>
    </xf>
    <xf borderId="1" fillId="2" fontId="1" numFmtId="166" xfId="0" applyAlignment="1" applyBorder="1" applyFill="1" applyFont="1" applyNumberFormat="1">
      <alignment readingOrder="0"/>
    </xf>
    <xf borderId="1" fillId="0" fontId="1" numFmtId="0" xfId="0" applyAlignment="1" applyBorder="1" applyFont="1">
      <alignment readingOrder="0"/>
    </xf>
    <xf borderId="1" fillId="3" fontId="2" numFmtId="3" xfId="0" applyAlignment="1" applyBorder="1" applyFill="1" applyFont="1" applyNumberFormat="1">
      <alignment readingOrder="0"/>
    </xf>
    <xf borderId="0" fillId="0" fontId="3" numFmtId="0" xfId="0" applyAlignment="1" applyFont="1">
      <alignment readingOrder="0"/>
    </xf>
    <xf borderId="2" fillId="3" fontId="4" numFmtId="3" xfId="0" applyAlignment="1" applyBorder="1" applyFill="1" applyFont="1" applyNumberFormat="1">
      <alignment readingOrder="0"/>
    </xf>
    <xf borderId="2" fillId="2" fontId="1" numFmtId="0" xfId="0" applyBorder="1" applyFill="1" applyFont="1"/>
    <xf borderId="3" fillId="0" fontId="3" numFmtId="164" xfId="0" applyAlignment="1" applyBorder="1" applyFont="1" applyNumberFormat="1">
      <alignment readingOrder="0"/>
    </xf>
    <xf borderId="4" fillId="0" fontId="3" numFmtId="166" xfId="0" applyAlignment="1" applyBorder="1" applyFont="1" applyNumberFormat="1">
      <alignment readingOrder="0"/>
    </xf>
    <xf borderId="5" fillId="0" fontId="5" numFmtId="0" xfId="0" applyAlignment="1" applyBorder="1" applyFont="1">
      <alignment vertical="bottom"/>
    </xf>
    <xf borderId="4" fillId="0" fontId="3" numFmtId="0" xfId="0" applyAlignment="1" applyBorder="1" applyFont="1">
      <alignment readingOrder="0"/>
    </xf>
    <xf borderId="5" fillId="0" fontId="5" numFmtId="165" xfId="0" applyAlignment="1" applyBorder="1" applyFont="1" applyNumberFormat="1">
      <alignment vertical="bottom"/>
    </xf>
    <xf borderId="4" fillId="0" fontId="3" numFmtId="4" xfId="0" applyAlignment="1" applyBorder="1" applyFont="1" applyNumberFormat="1">
      <alignment readingOrder="0"/>
    </xf>
    <xf borderId="5" fillId="0" fontId="3" numFmtId="3" xfId="0" applyAlignment="1" applyBorder="1" applyFont="1" applyNumberFormat="1">
      <alignment readingOrder="0"/>
    </xf>
    <xf borderId="5" fillId="0" fontId="3" numFmtId="165" xfId="0" applyAlignment="1" applyBorder="1" applyFont="1" applyNumberFormat="1">
      <alignment readingOrder="0"/>
    </xf>
    <xf borderId="4" fillId="0" fontId="3" numFmtId="3" xfId="0" applyAlignment="1" applyBorder="1" applyFont="1" applyNumberFormat="1">
      <alignment readingOrder="0"/>
    </xf>
    <xf borderId="5" fillId="0" fontId="3" numFmtId="164" xfId="0" applyAlignment="1" applyBorder="1" applyFont="1" applyNumberFormat="1">
      <alignment readingOrder="0"/>
    </xf>
    <xf borderId="6" fillId="0" fontId="3" numFmtId="166" xfId="0" applyAlignment="1" applyBorder="1" applyFont="1" applyNumberFormat="1">
      <alignment readingOrder="0"/>
    </xf>
    <xf borderId="4" fillId="0" fontId="3" numFmtId="0" xfId="0" applyBorder="1" applyFont="1"/>
    <xf borderId="7" fillId="0" fontId="3" numFmtId="0" xfId="0" applyAlignment="1" applyBorder="1" applyFont="1">
      <alignment readingOrder="0"/>
    </xf>
    <xf borderId="5" fillId="4" fontId="3" numFmtId="0" xfId="0" applyAlignment="1" applyBorder="1" applyFill="1" applyFont="1">
      <alignment readingOrder="0"/>
    </xf>
    <xf borderId="8" fillId="0" fontId="3" numFmtId="0" xfId="0" applyAlignment="1" applyBorder="1" applyFont="1">
      <alignment readingOrder="0"/>
    </xf>
    <xf borderId="5" fillId="0" fontId="3" numFmtId="0" xfId="0" applyBorder="1" applyFont="1"/>
    <xf borderId="8" fillId="0" fontId="3" numFmtId="4" xfId="0" applyAlignment="1" applyBorder="1" applyFont="1" applyNumberFormat="1">
      <alignment readingOrder="0"/>
    </xf>
    <xf borderId="9" fillId="0" fontId="3" numFmtId="0" xfId="0" applyBorder="1" applyFont="1"/>
    <xf borderId="8" fillId="0" fontId="3" numFmtId="3" xfId="0" applyAlignment="1" applyBorder="1" applyFont="1" applyNumberFormat="1">
      <alignment readingOrder="0"/>
    </xf>
    <xf borderId="8" fillId="0" fontId="3" numFmtId="166" xfId="0" applyAlignment="1" applyBorder="1" applyFont="1" applyNumberFormat="1">
      <alignment readingOrder="0"/>
    </xf>
    <xf borderId="10" fillId="0" fontId="3" numFmtId="164" xfId="0" applyAlignment="1" applyBorder="1" applyFont="1" applyNumberFormat="1">
      <alignment readingOrder="0"/>
    </xf>
    <xf borderId="8" fillId="4" fontId="3" numFmtId="0" xfId="0" applyAlignment="1" applyBorder="1" applyFill="1" applyFont="1">
      <alignment readingOrder="0"/>
    </xf>
    <xf borderId="11" fillId="0" fontId="3" numFmtId="0" xfId="0" applyBorder="1" applyFont="1"/>
    <xf borderId="4" fillId="0" fontId="3" numFmtId="165" xfId="0" applyAlignment="1" applyBorder="1" applyFont="1" applyNumberFormat="1">
      <alignment readingOrder="0"/>
    </xf>
    <xf borderId="2" fillId="0" fontId="3" numFmtId="0" xfId="0" applyBorder="1" applyFont="1"/>
    <xf borderId="12" fillId="0" fontId="3" numFmtId="164" xfId="0" applyAlignment="1" applyBorder="1" applyFont="1" applyNumberFormat="1">
      <alignment readingOrder="0"/>
    </xf>
    <xf borderId="13" fillId="4" fontId="3" numFmtId="0" xfId="0" applyAlignment="1" applyBorder="1" applyFill="1" applyFont="1">
      <alignment readingOrder="0"/>
    </xf>
    <xf borderId="0" fillId="0" fontId="6" numFmtId="0" xfId="0" applyAlignment="1" applyFont="1">
      <alignment readingOrder="0"/>
    </xf>
    <xf borderId="14" fillId="0" fontId="3" numFmtId="0" xfId="0" applyBorder="1" applyFont="1"/>
    <xf borderId="0" fillId="0" fontId="3" numFmtId="0" xfId="0" applyFont="1"/>
    <xf borderId="15" fillId="0" fontId="3" numFmtId="166" xfId="0" applyAlignment="1" applyBorder="1" applyFont="1" applyNumberFormat="1">
      <alignment readingOrder="0"/>
    </xf>
    <xf borderId="16" fillId="0" fontId="3" numFmtId="0" xfId="0" applyAlignment="1" applyBorder="1" applyFont="1">
      <alignment readingOrder="0"/>
    </xf>
    <xf borderId="17" fillId="0" fontId="3" numFmtId="0" xfId="0" applyAlignment="1" applyBorder="1" applyFont="1">
      <alignment readingOrder="0"/>
    </xf>
    <xf borderId="4" fillId="0" fontId="3" numFmtId="166" xfId="0" applyBorder="1" applyFont="1" applyNumberFormat="1"/>
    <xf borderId="4" fillId="0" fontId="3" numFmtId="164" xfId="0" applyAlignment="1" applyBorder="1" applyFont="1" applyNumberFormat="1">
      <alignment readingOrder="0"/>
    </xf>
    <xf borderId="13" fillId="0" fontId="3" numFmtId="0" xfId="0" applyAlignment="1" applyBorder="1" applyFont="1">
      <alignment readingOrder="0"/>
    </xf>
    <xf borderId="18" fillId="0" fontId="3" numFmtId="0" xfId="0" applyBorder="1" applyFont="1"/>
    <xf borderId="10" fillId="0" fontId="3" numFmtId="166" xfId="0" applyAlignment="1" applyBorder="1" applyFont="1" applyNumberFormat="1">
      <alignment readingOrder="0"/>
    </xf>
    <xf borderId="0" fillId="0" fontId="3" numFmtId="0" xfId="0" applyAlignment="1" applyFont="1">
      <alignment horizontal="center" readingOrder="0"/>
    </xf>
    <xf borderId="4" fillId="0" fontId="3" numFmtId="3" xfId="0" applyBorder="1" applyFont="1" applyNumberFormat="1"/>
    <xf borderId="19" fillId="0" fontId="5" numFmtId="164" xfId="0" applyAlignment="1" applyBorder="1" applyFont="1" applyNumberFormat="1">
      <alignment readingOrder="0" vertical="bottom"/>
    </xf>
    <xf borderId="12" fillId="0" fontId="3" numFmtId="0" xfId="0" applyAlignment="1" applyBorder="1" applyFont="1">
      <alignment readingOrder="0"/>
    </xf>
    <xf borderId="0" fillId="0" fontId="3" numFmtId="3" xfId="0" applyAlignment="1" applyFont="1" applyNumberFormat="1">
      <alignment horizontal="center" readingOrder="0"/>
    </xf>
    <xf borderId="19" fillId="0" fontId="5" numFmtId="0" xfId="0" applyAlignment="1" applyBorder="1" applyFont="1">
      <alignment readingOrder="0" vertical="bottom"/>
    </xf>
    <xf borderId="4" fillId="0" fontId="3" numFmtId="164" xfId="0" applyBorder="1" applyFont="1" applyNumberFormat="1"/>
    <xf borderId="20" fillId="0" fontId="3" numFmtId="0" xfId="0" applyBorder="1" applyFont="1"/>
    <xf borderId="19" fillId="0" fontId="5" numFmtId="4" xfId="0" applyAlignment="1" applyBorder="1" applyFont="1" applyNumberFormat="1">
      <alignment readingOrder="0" vertical="bottom"/>
    </xf>
    <xf borderId="19" fillId="0" fontId="3" numFmtId="0" xfId="0" applyBorder="1" applyFont="1"/>
    <xf borderId="13" fillId="0" fontId="3" numFmtId="0" xfId="0" applyBorder="1" applyFont="1"/>
    <xf borderId="19" fillId="0" fontId="5" numFmtId="3" xfId="0" applyAlignment="1" applyBorder="1" applyFont="1" applyNumberFormat="1">
      <alignment readingOrder="0" vertical="bottom"/>
    </xf>
    <xf borderId="19" fillId="0" fontId="3" numFmtId="3" xfId="0" applyBorder="1" applyFont="1" applyNumberFormat="1"/>
    <xf borderId="19" fillId="0" fontId="5" numFmtId="166" xfId="0" applyAlignment="1" applyBorder="1" applyFont="1" applyNumberFormat="1">
      <alignment readingOrder="0" vertical="bottom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Alignment="1" applyBorder="1" applyFont="1">
      <alignment readingOrder="0"/>
    </xf>
    <xf borderId="25" fillId="0" fontId="3" numFmtId="166" xfId="0" applyAlignment="1" applyBorder="1" applyFont="1" applyNumberFormat="1">
      <alignment readingOrder="0"/>
    </xf>
    <xf borderId="26" fillId="0" fontId="3" numFmtId="164" xfId="0" applyAlignment="1" applyBorder="1" applyFont="1" applyNumberFormat="1">
      <alignment readingOrder="0"/>
    </xf>
    <xf borderId="24" fillId="0" fontId="3" numFmtId="4" xfId="0" applyAlignment="1" applyBorder="1" applyFont="1" applyNumberFormat="1">
      <alignment readingOrder="0"/>
    </xf>
    <xf borderId="27" fillId="4" fontId="3" numFmtId="0" xfId="0" applyAlignment="1" applyBorder="1" applyFill="1" applyFont="1">
      <alignment readingOrder="0"/>
    </xf>
    <xf borderId="24" fillId="0" fontId="3" numFmtId="3" xfId="0" applyAlignment="1" applyBorder="1" applyFont="1" applyNumberFormat="1">
      <alignment readingOrder="0"/>
    </xf>
    <xf borderId="24" fillId="0" fontId="3" numFmtId="166" xfId="0" applyAlignment="1" applyBorder="1" applyFont="1" applyNumberFormat="1">
      <alignment readingOrder="0"/>
    </xf>
    <xf borderId="24" fillId="4" fontId="3" numFmtId="0" xfId="0" applyAlignment="1" applyBorder="1" applyFill="1" applyFont="1">
      <alignment readingOrder="0"/>
    </xf>
    <xf borderId="28" fillId="0" fontId="3" numFmtId="0" xfId="0" applyBorder="1" applyFont="1"/>
    <xf borderId="0" fillId="0" fontId="3" numFmtId="3" xfId="0" applyFont="1" applyNumberFormat="1"/>
    <xf borderId="0" fillId="0" fontId="7" numFmtId="0" xfId="0" applyAlignment="1" applyFont="1">
      <alignment readingOrder="0"/>
    </xf>
    <xf borderId="4" fillId="4" fontId="3" numFmtId="0" xfId="0" applyAlignment="1" applyBorder="1" applyFill="1" applyFont="1">
      <alignment readingOrder="0"/>
    </xf>
    <xf borderId="19" fillId="0" fontId="5" numFmtId="164" xfId="0" applyAlignment="1" applyBorder="1" applyFont="1" applyNumberFormat="1">
      <alignment vertical="bottom"/>
    </xf>
    <xf borderId="19" fillId="0" fontId="5" numFmtId="0" xfId="0" applyAlignment="1" applyBorder="1" applyFont="1">
      <alignment vertical="bottom"/>
    </xf>
    <xf borderId="0" fillId="4" fontId="3" numFmtId="3" xfId="0" applyFill="1" applyFont="1" applyNumberFormat="1"/>
    <xf borderId="19" fillId="0" fontId="5" numFmtId="0" xfId="0" applyAlignment="1" applyBorder="1" applyFont="1">
      <alignment vertical="bottom"/>
    </xf>
    <xf borderId="4" fillId="5" fontId="3" numFmtId="0" xfId="0" applyAlignment="1" applyBorder="1" applyFill="1" applyFont="1">
      <alignment readingOrder="0"/>
    </xf>
    <xf borderId="19" fillId="0" fontId="5" numFmtId="4" xfId="0" applyAlignment="1" applyBorder="1" applyFont="1" applyNumberFormat="1">
      <alignment vertical="bottom"/>
    </xf>
    <xf borderId="19" fillId="0" fontId="5" numFmtId="3" xfId="0" applyAlignment="1" applyBorder="1" applyFont="1" applyNumberFormat="1">
      <alignment vertical="bottom"/>
    </xf>
    <xf borderId="19" fillId="0" fontId="5" numFmtId="166" xfId="0" applyAlignment="1" applyBorder="1" applyFont="1" applyNumberFormat="1">
      <alignment vertical="bottom"/>
    </xf>
    <xf borderId="4" fillId="6" fontId="1" numFmtId="3" xfId="0" applyAlignment="1" applyBorder="1" applyFill="1" applyFont="1" applyNumberFormat="1">
      <alignment readingOrder="0"/>
    </xf>
    <xf borderId="19" fillId="0" fontId="3" numFmtId="166" xfId="0" applyAlignment="1" applyBorder="1" applyFont="1" applyNumberFormat="1">
      <alignment readingOrder="0"/>
    </xf>
    <xf borderId="0" fillId="2" fontId="1" numFmtId="0" xfId="0" applyFill="1" applyFont="1"/>
    <xf borderId="19" fillId="0" fontId="3" numFmtId="0" xfId="0" applyAlignment="1" applyBorder="1" applyFont="1">
      <alignment readingOrder="0"/>
    </xf>
    <xf borderId="29" fillId="0" fontId="3" numFmtId="164" xfId="0" applyAlignment="1" applyBorder="1" applyFont="1" applyNumberFormat="1">
      <alignment readingOrder="0"/>
    </xf>
    <xf borderId="19" fillId="0" fontId="3" numFmtId="4" xfId="0" applyAlignment="1" applyBorder="1" applyFont="1" applyNumberFormat="1">
      <alignment readingOrder="0"/>
    </xf>
    <xf borderId="19" fillId="0" fontId="3" numFmtId="3" xfId="0" applyAlignment="1" applyBorder="1" applyFont="1" applyNumberFormat="1">
      <alignment readingOrder="0"/>
    </xf>
    <xf borderId="30" fillId="0" fontId="3" numFmtId="164" xfId="0" applyAlignment="1" applyBorder="1" applyFont="1" applyNumberFormat="1">
      <alignment readingOrder="0"/>
    </xf>
    <xf borderId="3" fillId="0" fontId="3" numFmtId="166" xfId="0" applyAlignment="1" applyBorder="1" applyFont="1" applyNumberFormat="1">
      <alignment readingOrder="0"/>
    </xf>
    <xf borderId="31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3" numFmtId="4" xfId="0" applyAlignment="1" applyBorder="1" applyFont="1" applyNumberFormat="1">
      <alignment readingOrder="0"/>
    </xf>
    <xf borderId="24" fillId="0" fontId="3" numFmtId="0" xfId="0" applyBorder="1" applyFont="1"/>
    <xf borderId="5" fillId="0" fontId="3" numFmtId="166" xfId="0" applyAlignment="1" applyBorder="1" applyFont="1" applyNumberFormat="1">
      <alignment readingOrder="0"/>
    </xf>
    <xf borderId="9" fillId="4" fontId="3" numFmtId="0" xfId="0" applyAlignment="1" applyBorder="1" applyFill="1" applyFont="1">
      <alignment readingOrder="0"/>
    </xf>
    <xf borderId="31" fillId="4" fontId="3" numFmtId="0" xfId="0" applyAlignment="1" applyBorder="1" applyFill="1" applyFont="1">
      <alignment readingOrder="0"/>
    </xf>
    <xf borderId="19" fillId="4" fontId="3" numFmtId="0" xfId="0" applyAlignment="1" applyBorder="1" applyFill="1" applyFont="1">
      <alignment readingOrder="0"/>
    </xf>
    <xf borderId="16" fillId="0" fontId="3" numFmtId="164" xfId="0" applyAlignment="1" applyBorder="1" applyFont="1" applyNumberFormat="1">
      <alignment readingOrder="0"/>
    </xf>
    <xf borderId="0" fillId="0" fontId="3" numFmtId="4" xfId="0" applyFont="1" applyNumberFormat="1"/>
    <xf borderId="16" fillId="0" fontId="3" numFmtId="3" xfId="0" applyAlignment="1" applyBorder="1" applyFont="1" applyNumberFormat="1">
      <alignment readingOrder="0"/>
    </xf>
    <xf borderId="27" fillId="0" fontId="3" numFmtId="0" xfId="0" applyAlignment="1" applyBorder="1" applyFont="1">
      <alignment readingOrder="0"/>
    </xf>
    <xf borderId="16" fillId="4" fontId="3" numFmtId="0" xfId="0" applyAlignment="1" applyBorder="1" applyFill="1" applyFont="1">
      <alignment readingOrder="0"/>
    </xf>
    <xf borderId="16" fillId="0" fontId="3" numFmtId="0" xfId="0" applyBorder="1" applyFont="1"/>
    <xf borderId="16" fillId="0" fontId="3" numFmtId="4" xfId="0" applyAlignment="1" applyBorder="1" applyFont="1" applyNumberFormat="1">
      <alignment readingOrder="0"/>
    </xf>
    <xf borderId="16" fillId="0" fontId="3" numFmtId="166" xfId="0" applyAlignment="1" applyBorder="1" applyFont="1" applyNumberFormat="1">
      <alignment readingOrder="0"/>
    </xf>
    <xf borderId="14" fillId="4" fontId="3" numFmtId="0" xfId="0" applyAlignment="1" applyBorder="1" applyFill="1" applyFont="1">
      <alignment readingOrder="0"/>
    </xf>
    <xf borderId="0" fillId="7" fontId="3" numFmtId="0" xfId="0" applyAlignment="1" applyFill="1" applyFont="1">
      <alignment readingOrder="0"/>
    </xf>
    <xf borderId="32" fillId="7" fontId="3" numFmtId="164" xfId="0" applyAlignment="1" applyBorder="1" applyFill="1" applyFont="1" applyNumberFormat="1">
      <alignment readingOrder="0"/>
    </xf>
    <xf borderId="4" fillId="0" fontId="3" numFmtId="165" xfId="0" applyBorder="1" applyFont="1" applyNumberFormat="1"/>
    <xf borderId="0" fillId="7" fontId="3" numFmtId="0" xfId="0" applyFill="1" applyFont="1"/>
    <xf borderId="32" fillId="7" fontId="3" numFmtId="4" xfId="0" applyBorder="1" applyFill="1" applyFont="1" applyNumberFormat="1"/>
    <xf borderId="4" fillId="0" fontId="5" numFmtId="0" xfId="0" applyAlignment="1" applyBorder="1" applyFont="1">
      <alignment vertical="bottom"/>
    </xf>
    <xf borderId="4" fillId="0" fontId="5" numFmtId="165" xfId="0" applyAlignment="1" applyBorder="1" applyFont="1" applyNumberFormat="1">
      <alignment vertical="bottom"/>
    </xf>
    <xf borderId="14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166" xfId="0" applyAlignment="1" applyBorder="1" applyFont="1" applyNumberFormat="1">
      <alignment readingOrder="0"/>
    </xf>
    <xf borderId="4" fillId="0" fontId="8" numFmtId="0" xfId="0" applyAlignment="1" applyBorder="1" applyFont="1">
      <alignment readingOrder="0"/>
    </xf>
    <xf borderId="22" fillId="0" fontId="3" numFmtId="3" xfId="0" applyAlignment="1" applyBorder="1" applyFont="1" applyNumberFormat="1">
      <alignment readingOrder="0"/>
    </xf>
    <xf borderId="23" fillId="4" fontId="3" numFmtId="0" xfId="0" applyAlignment="1" applyBorder="1" applyFill="1" applyFont="1">
      <alignment readingOrder="0"/>
    </xf>
    <xf borderId="34" fillId="0" fontId="3" numFmtId="164" xfId="0" applyAlignment="1" applyBorder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19" fillId="0" fontId="3" numFmtId="164" xfId="0" applyAlignment="1" applyBorder="1" applyFont="1" applyNumberFormat="1">
      <alignment readingOrder="0"/>
    </xf>
    <xf borderId="35" fillId="0" fontId="3" numFmtId="0" xfId="0" applyBorder="1" applyFont="1"/>
    <xf borderId="32" fillId="7" fontId="3" numFmtId="0" xfId="0" applyBorder="1" applyFill="1" applyFont="1"/>
    <xf borderId="17" fillId="0" fontId="3" numFmtId="166" xfId="0" applyAlignment="1" applyBorder="1" applyFont="1" applyNumberFormat="1">
      <alignment readingOrder="0"/>
    </xf>
    <xf borderId="36" fillId="0" fontId="3" numFmtId="3" xfId="0" applyAlignment="1" applyBorder="1" applyFont="1" applyNumberFormat="1">
      <alignment readingOrder="0"/>
    </xf>
    <xf borderId="37" fillId="0" fontId="3" numFmtId="0" xfId="0" applyAlignment="1" applyBorder="1" applyFont="1">
      <alignment readingOrder="0"/>
    </xf>
    <xf borderId="37" fillId="0" fontId="3" numFmtId="4" xfId="0" applyAlignment="1" applyBorder="1" applyFont="1" applyNumberFormat="1">
      <alignment readingOrder="0"/>
    </xf>
    <xf borderId="10" fillId="0" fontId="3" numFmtId="0" xfId="0" applyBorder="1" applyFont="1"/>
    <xf borderId="20" fillId="0" fontId="3" numFmtId="166" xfId="0" applyAlignment="1" applyBorder="1" applyFont="1" applyNumberFormat="1">
      <alignment readingOrder="0"/>
    </xf>
    <xf borderId="38" fillId="0" fontId="3" numFmtId="3" xfId="0" applyAlignment="1" applyBorder="1" applyFont="1" applyNumberFormat="1">
      <alignment readingOrder="0"/>
    </xf>
    <xf borderId="37" fillId="0" fontId="3" numFmtId="166" xfId="0" applyAlignment="1" applyBorder="1" applyFont="1" applyNumberFormat="1">
      <alignment readingOrder="0"/>
    </xf>
    <xf borderId="37" fillId="0" fontId="3" numFmtId="3" xfId="0" applyAlignment="1" applyBorder="1" applyFont="1" applyNumberFormat="1">
      <alignment readingOrder="0"/>
    </xf>
    <xf borderId="39" fillId="0" fontId="3" numFmtId="166" xfId="0" applyAlignment="1" applyBorder="1" applyFont="1" applyNumberFormat="1">
      <alignment readingOrder="0"/>
    </xf>
    <xf borderId="19" fillId="0" fontId="9" numFmtId="0" xfId="0" applyAlignment="1" applyBorder="1" applyFont="1">
      <alignment readingOrder="0"/>
    </xf>
    <xf borderId="40" fillId="0" fontId="3" numFmtId="0" xfId="0" applyAlignment="1" applyBorder="1" applyFont="1">
      <alignment readingOrder="0"/>
    </xf>
    <xf borderId="41" fillId="0" fontId="3" numFmtId="166" xfId="0" applyAlignment="1" applyBorder="1" applyFont="1" applyNumberFormat="1">
      <alignment readingOrder="0"/>
    </xf>
    <xf borderId="42" fillId="0" fontId="3" numFmtId="0" xfId="0" applyAlignment="1" applyBorder="1" applyFont="1">
      <alignment readingOrder="0"/>
    </xf>
    <xf borderId="12" fillId="0" fontId="3" numFmtId="4" xfId="0" applyAlignment="1" applyBorder="1" applyFont="1" applyNumberFormat="1">
      <alignment readingOrder="0"/>
    </xf>
    <xf borderId="24" fillId="0" fontId="3" numFmtId="164" xfId="0" applyAlignment="1" applyBorder="1" applyFont="1" applyNumberFormat="1">
      <alignment readingOrder="0"/>
    </xf>
    <xf borderId="43" fillId="0" fontId="3" numFmtId="3" xfId="0" applyAlignment="1" applyBorder="1" applyFont="1" applyNumberFormat="1">
      <alignment readingOrder="0"/>
    </xf>
    <xf borderId="43" fillId="0" fontId="3" numFmtId="166" xfId="0" applyAlignment="1" applyBorder="1" applyFont="1" applyNumberFormat="1">
      <alignment readingOrder="0"/>
    </xf>
    <xf borderId="43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0" fillId="0" fontId="9" numFmtId="0" xfId="0" applyFont="1"/>
    <xf borderId="20" fillId="0" fontId="3" numFmtId="164" xfId="0" applyAlignment="1" applyBorder="1" applyFont="1" applyNumberFormat="1">
      <alignment readingOrder="0"/>
    </xf>
    <xf borderId="43" fillId="0" fontId="3" numFmtId="164" xfId="0" applyAlignment="1" applyBorder="1" applyFont="1" applyNumberFormat="1">
      <alignment readingOrder="0"/>
    </xf>
    <xf borderId="4" fillId="7" fontId="3" numFmtId="0" xfId="0" applyAlignment="1" applyBorder="1" applyFill="1" applyFont="1">
      <alignment readingOrder="0"/>
    </xf>
    <xf borderId="21" fillId="0" fontId="3" numFmtId="164" xfId="0" applyAlignment="1" applyBorder="1" applyFont="1" applyNumberFormat="1">
      <alignment readingOrder="0"/>
    </xf>
    <xf borderId="22" fillId="4" fontId="3" numFmtId="0" xfId="0" applyAlignment="1" applyBorder="1" applyFill="1" applyFont="1">
      <alignment readingOrder="0"/>
    </xf>
    <xf borderId="4" fillId="0" fontId="7" numFmtId="0" xfId="0" applyAlignment="1" applyBorder="1" applyFont="1">
      <alignment readingOrder="0"/>
    </xf>
    <xf borderId="32" fillId="7" fontId="3" numFmtId="0" xfId="0" applyAlignment="1" applyBorder="1" applyFill="1" applyFont="1">
      <alignment readingOrder="0"/>
    </xf>
    <xf borderId="44" fillId="4" fontId="3" numFmtId="0" xfId="0" applyAlignment="1" applyBorder="1" applyFill="1" applyFont="1">
      <alignment readingOrder="0"/>
    </xf>
    <xf borderId="32" fillId="0" fontId="3" numFmtId="0" xfId="0" applyAlignment="1" applyBorder="1" applyFont="1">
      <alignment readingOrder="0"/>
    </xf>
    <xf borderId="45" fillId="0" fontId="3" numFmtId="166" xfId="0" applyAlignment="1" applyBorder="1" applyFont="1" applyNumberFormat="1">
      <alignment readingOrder="0"/>
    </xf>
    <xf borderId="16" fillId="0" fontId="3" numFmtId="165" xfId="0" applyAlignment="1" applyBorder="1" applyFont="1" applyNumberFormat="1">
      <alignment readingOrder="0"/>
    </xf>
    <xf borderId="15" fillId="0" fontId="3" numFmtId="164" xfId="0" applyAlignment="1" applyBorder="1" applyFont="1" applyNumberFormat="1">
      <alignment readingOrder="0"/>
    </xf>
    <xf borderId="4" fillId="0" fontId="5" numFmtId="165" xfId="0" applyAlignment="1" applyBorder="1" applyFont="1" applyNumberFormat="1">
      <alignment readingOrder="0" vertical="bottom"/>
    </xf>
    <xf borderId="29" fillId="0" fontId="3" numFmtId="166" xfId="0" applyAlignment="1" applyBorder="1" applyFont="1" applyNumberFormat="1">
      <alignment readingOrder="0"/>
    </xf>
    <xf borderId="28" fillId="0" fontId="3" numFmtId="0" xfId="0" applyAlignment="1" applyBorder="1" applyFont="1">
      <alignment readingOrder="0"/>
    </xf>
    <xf borderId="46" fillId="0" fontId="3" numFmtId="0" xfId="0" applyBorder="1" applyFont="1"/>
    <xf borderId="4" fillId="0" fontId="3" numFmtId="167" xfId="0" applyAlignment="1" applyBorder="1" applyFont="1" applyNumberFormat="1">
      <alignment readingOrder="0"/>
    </xf>
    <xf borderId="24" fillId="0" fontId="3" numFmtId="165" xfId="0" applyAlignment="1" applyBorder="1" applyFont="1" applyNumberFormat="1">
      <alignment readingOrder="0"/>
    </xf>
    <xf borderId="47" fillId="0" fontId="3" numFmtId="0" xfId="0" applyAlignment="1" applyBorder="1" applyFont="1">
      <alignment readingOrder="0"/>
    </xf>
    <xf borderId="38" fillId="0" fontId="3" numFmtId="166" xfId="0" applyAlignment="1" applyBorder="1" applyFont="1" applyNumberFormat="1">
      <alignment readingOrder="0"/>
    </xf>
    <xf borderId="38" fillId="0" fontId="3" numFmtId="0" xfId="0" applyAlignment="1" applyBorder="1" applyFont="1">
      <alignment readingOrder="0"/>
    </xf>
    <xf borderId="38" fillId="0" fontId="3" numFmtId="4" xfId="0" applyAlignment="1" applyBorder="1" applyFont="1" applyNumberFormat="1">
      <alignment readingOrder="0"/>
    </xf>
    <xf borderId="19" fillId="0" fontId="3" numFmtId="165" xfId="0" applyAlignment="1" applyBorder="1" applyFont="1" applyNumberFormat="1">
      <alignment readingOrder="0"/>
    </xf>
    <xf borderId="14" fillId="7" fontId="3" numFmtId="0" xfId="0" applyAlignment="1" applyBorder="1" applyFill="1" applyFont="1">
      <alignment readingOrder="0"/>
    </xf>
    <xf borderId="17" fillId="0" fontId="3" numFmtId="164" xfId="0" applyAlignment="1" applyBorder="1" applyFont="1" applyNumberFormat="1">
      <alignment readingOrder="0"/>
    </xf>
    <xf borderId="36" fillId="0" fontId="3" numFmtId="0" xfId="0" applyAlignment="1" applyBorder="1" applyFont="1">
      <alignment readingOrder="0"/>
    </xf>
    <xf borderId="29" fillId="0" fontId="3" numFmtId="166" xfId="0" applyBorder="1" applyFont="1" applyNumberFormat="1"/>
    <xf borderId="19" fillId="5" fontId="3" numFmtId="0" xfId="0" applyAlignment="1" applyBorder="1" applyFill="1" applyFont="1">
      <alignment readingOrder="0"/>
    </xf>
    <xf borderId="5" fillId="0" fontId="5" numFmtId="165" xfId="0" applyAlignment="1" applyBorder="1" applyFont="1" applyNumberFormat="1">
      <alignment readingOrder="0" vertical="bottom"/>
    </xf>
    <xf borderId="19" fillId="0" fontId="3" numFmtId="4" xfId="0" applyBorder="1" applyFont="1" applyNumberFormat="1"/>
    <xf borderId="19" fillId="0" fontId="3" numFmtId="166" xfId="0" applyBorder="1" applyFont="1" applyNumberFormat="1"/>
    <xf borderId="4" fillId="7" fontId="3" numFmtId="1" xfId="0" applyBorder="1" applyFill="1" applyFont="1" applyNumberFormat="1"/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10" fillId="3" fontId="3" numFmtId="166" xfId="0" applyAlignment="1" applyBorder="1" applyFill="1" applyFont="1" applyNumberFormat="1">
      <alignment readingOrder="0"/>
    </xf>
    <xf borderId="4" fillId="3" fontId="3" numFmtId="0" xfId="0" applyBorder="1" applyFill="1" applyFont="1"/>
    <xf borderId="4" fillId="3" fontId="3" numFmtId="0" xfId="0" applyAlignment="1" applyBorder="1" applyFill="1" applyFont="1">
      <alignment readingOrder="0"/>
    </xf>
    <xf borderId="4" fillId="3" fontId="3" numFmtId="4" xfId="0" applyAlignment="1" applyBorder="1" applyFill="1" applyFont="1" applyNumberFormat="1">
      <alignment readingOrder="0"/>
    </xf>
    <xf borderId="3" fillId="0" fontId="3" numFmtId="164" xfId="0" applyAlignment="1" applyBorder="1" applyFont="1" applyNumberFormat="1">
      <alignment horizontal="center" readingOrder="0"/>
    </xf>
    <xf borderId="4" fillId="3" fontId="3" numFmtId="3" xfId="0" applyAlignment="1" applyBorder="1" applyFill="1" applyFont="1" applyNumberFormat="1">
      <alignment readingOrder="0"/>
    </xf>
    <xf borderId="4" fillId="3" fontId="3" numFmtId="166" xfId="0" applyAlignment="1" applyBorder="1" applyFill="1" applyFont="1" applyNumberFormat="1">
      <alignment readingOrder="0"/>
    </xf>
    <xf borderId="10" fillId="0" fontId="3" numFmtId="164" xfId="0" applyAlignment="1" applyBorder="1" applyFont="1" applyNumberFormat="1">
      <alignment horizontal="center" readingOrder="0"/>
    </xf>
    <xf borderId="23" fillId="0" fontId="3" numFmtId="0" xfId="0" applyAlignment="1" applyBorder="1" applyFont="1">
      <alignment readingOrder="0"/>
    </xf>
    <xf borderId="48" fillId="0" fontId="3" numFmtId="0" xfId="0" applyAlignment="1" applyBorder="1" applyFont="1">
      <alignment readingOrder="0"/>
    </xf>
    <xf borderId="48" fillId="0" fontId="3" numFmtId="4" xfId="0" applyAlignment="1" applyBorder="1" applyFont="1" applyNumberFormat="1">
      <alignment readingOrder="0"/>
    </xf>
    <xf borderId="48" fillId="0" fontId="3" numFmtId="3" xfId="0" applyAlignment="1" applyBorder="1" applyFont="1" applyNumberFormat="1">
      <alignment readingOrder="0"/>
    </xf>
    <xf borderId="48" fillId="0" fontId="3" numFmtId="166" xfId="0" applyBorder="1" applyFont="1" applyNumberFormat="1"/>
    <xf borderId="49" fillId="0" fontId="3" numFmtId="0" xfId="0" applyAlignment="1" applyBorder="1" applyFont="1">
      <alignment readingOrder="0"/>
    </xf>
    <xf borderId="50" fillId="0" fontId="3" numFmtId="0" xfId="0" applyBorder="1" applyFont="1"/>
    <xf borderId="9" fillId="0" fontId="3" numFmtId="3" xfId="0" applyAlignment="1" applyBorder="1" applyFont="1" applyNumberFormat="1">
      <alignment readingOrder="0"/>
    </xf>
    <xf borderId="38" fillId="0" fontId="3" numFmtId="0" xfId="0" applyBorder="1" applyFont="1"/>
    <xf borderId="36" fillId="0" fontId="3" numFmtId="166" xfId="0" applyAlignment="1" applyBorder="1" applyFont="1" applyNumberFormat="1">
      <alignment readingOrder="0"/>
    </xf>
    <xf borderId="38" fillId="0" fontId="3" numFmtId="3" xfId="0" applyBorder="1" applyFont="1" applyNumberFormat="1"/>
    <xf borderId="51" fillId="0" fontId="3" numFmtId="0" xfId="0" applyBorder="1" applyFont="1"/>
    <xf borderId="14" fillId="0" fontId="3" numFmtId="3" xfId="0" applyAlignment="1" applyBorder="1" applyFont="1" applyNumberFormat="1">
      <alignment readingOrder="0"/>
    </xf>
    <xf borderId="0" fillId="0" fontId="3" numFmtId="3" xfId="0" applyAlignment="1" applyFont="1" applyNumberFormat="1">
      <alignment horizontal="center"/>
    </xf>
    <xf borderId="13" fillId="0" fontId="3" numFmtId="166" xfId="0" applyAlignment="1" applyBorder="1" applyFont="1" applyNumberFormat="1">
      <alignment readingOrder="0"/>
    </xf>
    <xf borderId="0" fillId="5" fontId="3" numFmtId="3" xfId="0" applyFill="1" applyFont="1" applyNumberFormat="1"/>
    <xf borderId="23" fillId="0" fontId="3" numFmtId="3" xfId="0" applyAlignment="1" applyBorder="1" applyFont="1" applyNumberFormat="1">
      <alignment readingOrder="0"/>
    </xf>
    <xf borderId="20" fillId="0" fontId="3" numFmtId="164" xfId="0" applyAlignment="1" applyBorder="1" applyFont="1" applyNumberFormat="1">
      <alignment horizontal="center" readingOrder="0"/>
    </xf>
    <xf borderId="20" fillId="0" fontId="3" numFmtId="166" xfId="0" applyBorder="1" applyFont="1" applyNumberFormat="1"/>
    <xf borderId="24" fillId="0" fontId="3" numFmtId="3" xfId="0" applyBorder="1" applyFont="1" applyNumberFormat="1"/>
    <xf borderId="24" fillId="0" fontId="3" numFmtId="166" xfId="0" applyBorder="1" applyFont="1" applyNumberFormat="1"/>
    <xf borderId="15" fillId="0" fontId="3" numFmtId="164" xfId="0" applyAlignment="1" applyBorder="1" applyFont="1" applyNumberFormat="1">
      <alignment horizontal="center" readingOrder="0"/>
    </xf>
    <xf borderId="16" fillId="0" fontId="5" numFmtId="0" xfId="0" applyAlignment="1" applyBorder="1" applyFont="1">
      <alignment vertical="bottom"/>
    </xf>
    <xf borderId="16" fillId="0" fontId="5" numFmtId="165" xfId="0" applyAlignment="1" applyBorder="1" applyFont="1" applyNumberFormat="1">
      <alignment readingOrder="0" vertical="bottom"/>
    </xf>
    <xf borderId="52" fillId="0" fontId="3" numFmtId="0" xfId="0" applyBorder="1" applyFont="1"/>
    <xf borderId="6" fillId="0" fontId="3" numFmtId="164" xfId="0" applyAlignment="1" applyBorder="1" applyFont="1" applyNumberFormat="1">
      <alignment readingOrder="0"/>
    </xf>
    <xf borderId="8" fillId="0" fontId="3" numFmtId="164" xfId="0" applyAlignment="1" applyBorder="1" applyFont="1" applyNumberFormat="1">
      <alignment readingOrder="0"/>
    </xf>
    <xf borderId="8" fillId="0" fontId="3" numFmtId="0" xfId="0" applyBorder="1" applyFont="1"/>
    <xf borderId="0" fillId="0" fontId="3" numFmtId="166" xfId="0" applyFont="1" applyNumberFormat="1"/>
    <xf borderId="5" fillId="0" fontId="3" numFmtId="164" xfId="0" applyAlignment="1" applyBorder="1" applyFont="1" applyNumberFormat="1">
      <alignment horizontal="center" readingOrder="0"/>
    </xf>
    <xf borderId="4" fillId="0" fontId="3" numFmtId="164" xfId="0" applyAlignment="1" applyBorder="1" applyFont="1" applyNumberFormat="1">
      <alignment horizontal="center" readingOrder="0"/>
    </xf>
    <xf borderId="4" fillId="7" fontId="3" numFmtId="0" xfId="0" applyAlignment="1" applyBorder="1" applyFill="1" applyFont="1">
      <alignment horizontal="left" readingOrder="0"/>
    </xf>
    <xf borderId="24" fillId="3" fontId="3" numFmtId="0" xfId="0" applyAlignment="1" applyBorder="1" applyFill="1" applyFont="1">
      <alignment readingOrder="0"/>
    </xf>
    <xf borderId="4" fillId="0" fontId="5" numFmtId="165" xfId="0" applyAlignment="1" applyBorder="1" applyFont="1" applyNumberFormat="1">
      <alignment horizontal="right" vertical="bottom"/>
    </xf>
    <xf borderId="4" fillId="0" fontId="10" numFmtId="0" xfId="0" applyAlignment="1" applyBorder="1" applyFont="1">
      <alignment readingOrder="0"/>
    </xf>
    <xf borderId="4" fillId="0" fontId="5" numFmtId="0" xfId="0" applyAlignment="1" applyBorder="1" applyFont="1">
      <alignment horizontal="right" readingOrder="0" vertical="bottom"/>
    </xf>
    <xf borderId="4" fillId="0" fontId="5" numFmtId="164" xfId="0" applyAlignment="1" applyBorder="1" applyFont="1" applyNumberFormat="1">
      <alignment horizontal="right" readingOrder="0" vertical="bottom"/>
    </xf>
    <xf borderId="4" fillId="4" fontId="5" numFmtId="0" xfId="0" applyAlignment="1" applyBorder="1" applyFill="1" applyFont="1">
      <alignment vertical="bottom"/>
    </xf>
    <xf borderId="53" fillId="0" fontId="3" numFmtId="0" xfId="0" applyBorder="1" applyFont="1"/>
    <xf borderId="4" fillId="0" fontId="3" numFmtId="3" xfId="0" applyAlignment="1" applyBorder="1" applyFont="1" applyNumberFormat="1">
      <alignment horizontal="right" readingOrder="0"/>
    </xf>
    <xf borderId="53" fillId="0" fontId="3" numFmtId="0" xfId="0" applyAlignment="1" applyBorder="1" applyFont="1">
      <alignment readingOrder="0"/>
    </xf>
    <xf borderId="4" fillId="8" fontId="3" numFmtId="0" xfId="0" applyBorder="1" applyFill="1" applyFont="1"/>
    <xf borderId="53" fillId="7" fontId="3" numFmtId="0" xfId="0" applyBorder="1" applyFill="1" applyFont="1"/>
    <xf borderId="24" fillId="0" fontId="3" numFmtId="3" xfId="0" applyAlignment="1" applyBorder="1" applyFont="1" applyNumberFormat="1">
      <alignment horizontal="right" readingOrder="0"/>
    </xf>
    <xf borderId="4" fillId="8" fontId="3" numFmtId="4" xfId="0" applyAlignment="1" applyBorder="1" applyFill="1" applyFont="1" applyNumberFormat="1">
      <alignment readingOrder="0"/>
    </xf>
    <xf borderId="30" fillId="0" fontId="3" numFmtId="0" xfId="0" applyAlignment="1" applyBorder="1" applyFont="1">
      <alignment readingOrder="0"/>
    </xf>
    <xf borderId="31" fillId="0" fontId="3" numFmtId="0" xfId="0" applyBorder="1" applyFont="1"/>
    <xf borderId="54" fillId="0" fontId="3" numFmtId="164" xfId="0" applyAlignment="1" applyBorder="1" applyFont="1" applyNumberFormat="1">
      <alignment readingOrder="0"/>
    </xf>
    <xf borderId="16" fillId="5" fontId="3" numFmtId="0" xfId="0" applyAlignment="1" applyBorder="1" applyFill="1" applyFont="1">
      <alignment readingOrder="0"/>
    </xf>
    <xf borderId="4" fillId="9" fontId="3" numFmtId="0" xfId="0" applyAlignment="1" applyBorder="1" applyFill="1" applyFont="1">
      <alignment readingOrder="0"/>
    </xf>
    <xf borderId="4" fillId="9" fontId="3" numFmtId="165" xfId="0" applyAlignment="1" applyBorder="1" applyFill="1" applyFont="1" applyNumberFormat="1">
      <alignment readingOrder="0"/>
    </xf>
    <xf borderId="4" fillId="9" fontId="3" numFmtId="0" xfId="0" applyBorder="1" applyFill="1" applyFont="1"/>
    <xf borderId="4" fillId="0" fontId="5" numFmtId="164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vertical="bottom"/>
    </xf>
    <xf borderId="24" fillId="0" fontId="5" numFmtId="164" xfId="0" applyAlignment="1" applyBorder="1" applyFont="1" applyNumberFormat="1">
      <alignment horizontal="right" vertical="bottom"/>
    </xf>
    <xf borderId="24" fillId="0" fontId="5" numFmtId="0" xfId="0" applyAlignment="1" applyBorder="1" applyFont="1">
      <alignment vertical="bottom"/>
    </xf>
    <xf borderId="22" fillId="0" fontId="3" numFmtId="0" xfId="0" applyAlignment="1" applyBorder="1" applyFont="1">
      <alignment readingOrder="0"/>
    </xf>
    <xf borderId="4" fillId="9" fontId="3" numFmtId="164" xfId="0" applyAlignment="1" applyBorder="1" applyFill="1" applyFont="1" applyNumberFormat="1">
      <alignment readingOrder="0"/>
    </xf>
    <xf borderId="0" fillId="10" fontId="3" numFmtId="0" xfId="0" applyAlignment="1" applyFill="1" applyFont="1">
      <alignment readingOrder="0"/>
    </xf>
    <xf borderId="0" fillId="10" fontId="3" numFmtId="0" xfId="0" applyFill="1" applyFont="1"/>
    <xf borderId="16" fillId="0" fontId="11" numFmtId="165" xfId="0" applyAlignment="1" applyBorder="1" applyFont="1" applyNumberFormat="1">
      <alignment readingOrder="0"/>
    </xf>
    <xf borderId="4" fillId="0" fontId="11" numFmtId="165" xfId="0" applyAlignment="1" applyBorder="1" applyFont="1" applyNumberFormat="1">
      <alignment readingOrder="0"/>
    </xf>
    <xf borderId="4" fillId="8" fontId="3" numFmtId="0" xfId="0" applyAlignment="1" applyBorder="1" applyFill="1" applyFont="1">
      <alignment readingOrder="0"/>
    </xf>
    <xf borderId="4" fillId="8" fontId="11" numFmtId="165" xfId="0" applyAlignment="1" applyBorder="1" applyFill="1" applyFont="1" applyNumberFormat="1">
      <alignment readingOrder="0"/>
    </xf>
    <xf borderId="0" fillId="10" fontId="12" numFmtId="0" xfId="0" applyAlignment="1" applyFill="1" applyFont="1">
      <alignment readingOrder="0"/>
    </xf>
    <xf borderId="20" fillId="11" fontId="3" numFmtId="164" xfId="0" applyAlignment="1" applyBorder="1" applyFill="1" applyFont="1" applyNumberFormat="1">
      <alignment readingOrder="0"/>
    </xf>
    <xf borderId="7" fillId="0" fontId="3" numFmtId="3" xfId="0" applyAlignment="1" applyBorder="1" applyFont="1" applyNumberFormat="1">
      <alignment readingOrder="0"/>
    </xf>
    <xf borderId="19" fillId="11" fontId="3" numFmtId="0" xfId="0" applyAlignment="1" applyBorder="1" applyFill="1" applyFont="1">
      <alignment readingOrder="0"/>
    </xf>
    <xf borderId="19" fillId="11" fontId="3" numFmtId="165" xfId="0" applyAlignment="1" applyBorder="1" applyFill="1" applyFont="1" applyNumberFormat="1">
      <alignment readingOrder="0"/>
    </xf>
    <xf borderId="19" fillId="11" fontId="3" numFmtId="164" xfId="0" applyAlignment="1" applyBorder="1" applyFill="1" applyFont="1" applyNumberFormat="1">
      <alignment readingOrder="0"/>
    </xf>
    <xf borderId="23" fillId="11" fontId="3" numFmtId="0" xfId="0" applyBorder="1" applyFill="1" applyFont="1"/>
    <xf borderId="29" fillId="0" fontId="3" numFmtId="164" xfId="0" applyAlignment="1" applyBorder="1" applyFont="1" applyNumberFormat="1">
      <alignment horizontal="center" readingOrder="0"/>
    </xf>
    <xf borderId="0" fillId="7" fontId="3" numFmtId="0" xfId="0" applyAlignment="1" applyFill="1" applyFont="1">
      <alignment horizontal="right" readingOrder="0"/>
    </xf>
    <xf borderId="16" fillId="0" fontId="3" numFmtId="165" xfId="0" applyBorder="1" applyFont="1" applyNumberFormat="1"/>
    <xf borderId="4" fillId="0" fontId="3" numFmtId="1" xfId="0" applyAlignment="1" applyBorder="1" applyFont="1" applyNumberFormat="1">
      <alignment readingOrder="0"/>
    </xf>
    <xf borderId="4" fillId="0" fontId="3" numFmtId="4" xfId="0" applyBorder="1" applyFont="1" applyNumberFormat="1"/>
    <xf borderId="4" fillId="12" fontId="13" numFmtId="0" xfId="0" applyAlignment="1" applyBorder="1" applyFill="1" applyFont="1">
      <alignment readingOrder="0"/>
    </xf>
    <xf borderId="0" fillId="7" fontId="12" numFmtId="0" xfId="0" applyAlignment="1" applyFill="1" applyFont="1">
      <alignment readingOrder="0"/>
    </xf>
    <xf borderId="4" fillId="8" fontId="3" numFmtId="3" xfId="0" applyBorder="1" applyFill="1" applyFont="1" applyNumberFormat="1"/>
    <xf borderId="0" fillId="0" fontId="3" numFmtId="165" xfId="0" applyFont="1" applyNumberFormat="1"/>
    <xf borderId="4" fillId="9" fontId="3" numFmtId="3" xfId="0" applyAlignment="1" applyBorder="1" applyFill="1" applyFont="1" applyNumberFormat="1">
      <alignment readingOrder="0"/>
    </xf>
    <xf borderId="19" fillId="0" fontId="3" numFmtId="0" xfId="0" applyAlignment="1" applyBorder="1" applyFont="1">
      <alignment horizontal="center" readingOrder="0"/>
    </xf>
    <xf borderId="7" fillId="0" fontId="5" numFmtId="165" xfId="0" applyAlignment="1" applyBorder="1" applyFont="1" applyNumberFormat="1">
      <alignment readingOrder="0" vertical="bottom"/>
    </xf>
    <xf borderId="7" fillId="0" fontId="3" numFmtId="164" xfId="0" applyAlignment="1" applyBorder="1" applyFont="1" applyNumberFormat="1">
      <alignment readingOrder="0"/>
    </xf>
    <xf borderId="29" fillId="0" fontId="3" numFmtId="0" xfId="0" applyBorder="1" applyFont="1"/>
    <xf borderId="4" fillId="8" fontId="3" numFmtId="3" xfId="0" applyAlignment="1" applyBorder="1" applyFill="1" applyFont="1" applyNumberFormat="1">
      <alignment readingOrder="0"/>
    </xf>
    <xf borderId="4" fillId="8" fontId="3" numFmtId="164" xfId="0" applyAlignment="1" applyBorder="1" applyFill="1" applyFont="1" applyNumberFormat="1">
      <alignment readingOrder="0"/>
    </xf>
    <xf borderId="55" fillId="0" fontId="3" numFmtId="164" xfId="0" applyAlignment="1" applyBorder="1" applyFont="1" applyNumberFormat="1">
      <alignment readingOrder="0"/>
    </xf>
    <xf borderId="0" fillId="0" fontId="3" numFmtId="4" xfId="0" applyAlignment="1" applyFont="1" applyNumberFormat="1">
      <alignment readingOrder="0"/>
    </xf>
    <xf borderId="19" fillId="8" fontId="3" numFmtId="0" xfId="0" applyAlignment="1" applyBorder="1" applyFill="1" applyFont="1">
      <alignment readingOrder="0"/>
    </xf>
    <xf borderId="19" fillId="8" fontId="3" numFmtId="4" xfId="0" applyAlignment="1" applyBorder="1" applyFill="1" applyFont="1" applyNumberFormat="1">
      <alignment readingOrder="0"/>
    </xf>
    <xf borderId="19" fillId="8" fontId="3" numFmtId="3" xfId="0" applyAlignment="1" applyBorder="1" applyFill="1" applyFont="1" applyNumberFormat="1">
      <alignment readingOrder="0"/>
    </xf>
    <xf borderId="19" fillId="8" fontId="3" numFmtId="0" xfId="0" applyBorder="1" applyFill="1" applyFont="1"/>
    <xf borderId="24" fillId="8" fontId="3" numFmtId="0" xfId="0" applyAlignment="1" applyBorder="1" applyFill="1" applyFont="1">
      <alignment readingOrder="0"/>
    </xf>
    <xf borderId="24" fillId="8" fontId="3" numFmtId="4" xfId="0" applyAlignment="1" applyBorder="1" applyFill="1" applyFont="1" applyNumberFormat="1">
      <alignment readingOrder="0"/>
    </xf>
    <xf borderId="24" fillId="8" fontId="3" numFmtId="3" xfId="0" applyBorder="1" applyFill="1" applyFont="1" applyNumberFormat="1"/>
    <xf borderId="24" fillId="8" fontId="3" numFmtId="0" xfId="0" applyBorder="1" applyFill="1" applyFont="1"/>
    <xf borderId="56" fillId="0" fontId="3" numFmtId="164" xfId="0" applyAlignment="1" applyBorder="1" applyFont="1" applyNumberFormat="1">
      <alignment readingOrder="0"/>
    </xf>
    <xf borderId="57" fillId="0" fontId="5" numFmtId="0" xfId="0" applyAlignment="1" applyBorder="1" applyFont="1">
      <alignment vertical="bottom"/>
    </xf>
    <xf borderId="57" fillId="0" fontId="5" numFmtId="165" xfId="0" applyAlignment="1" applyBorder="1" applyFont="1" applyNumberFormat="1">
      <alignment readingOrder="0" vertical="bottom"/>
    </xf>
    <xf borderId="57" fillId="0" fontId="3" numFmtId="4" xfId="0" applyAlignment="1" applyBorder="1" applyFont="1" applyNumberFormat="1">
      <alignment readingOrder="0"/>
    </xf>
    <xf borderId="57" fillId="0" fontId="3" numFmtId="3" xfId="0" applyBorder="1" applyFont="1" applyNumberFormat="1"/>
    <xf borderId="57" fillId="0" fontId="3" numFmtId="0" xfId="0" applyBorder="1" applyFont="1"/>
    <xf borderId="58" fillId="0" fontId="3" numFmtId="0" xfId="0" applyBorder="1" applyFont="1"/>
    <xf borderId="59" fillId="0" fontId="3" numFmtId="0" xfId="0" applyBorder="1" applyFont="1"/>
    <xf borderId="60" fillId="0" fontId="3" numFmtId="0" xfId="0" applyBorder="1" applyFont="1"/>
    <xf borderId="60" fillId="0" fontId="3" numFmtId="4" xfId="0" applyBorder="1" applyFont="1" applyNumberFormat="1"/>
    <xf borderId="60" fillId="0" fontId="3" numFmtId="3" xfId="0" applyBorder="1" applyFont="1" applyNumberFormat="1"/>
    <xf borderId="6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75" sheet="ส.ค.69"/>
  </cacheSource>
  <cacheFields>
    <cacheField name="วันที่" numFmtId="164">
      <sharedItems containsDate="1" containsString="0" containsBlank="1">
        <d v="2026-08-01T00:00:00Z"/>
        <m/>
        <d v="2026-08-02T00:00:00Z"/>
        <d v="2026-08-03T00:00:00Z"/>
        <d v="2026-08-04T00:00:00Z"/>
        <d v="2026-08-05T00:00:00Z"/>
        <d v="2026-08-06T00:00:00Z"/>
        <d v="2026-08-07T00:00:00Z"/>
        <d v="2026-08-08T00:00:00Z"/>
        <d v="2026-08-09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0T00:00:00Z"/>
        <d v="2026-08-31T00:00:00Z"/>
      </sharedItems>
    </cacheField>
    <cacheField name="เจ้าหนี้" numFmtId="0">
      <sharedItems containsBlank="1">
        <s v="น้ำแข็งเอเชีย"/>
        <s v="น้ำแข็งวิศิษฐ์"/>
        <s v="ซุปหม่าลา"/>
        <s v="น้ำมันขนส่ง"/>
        <s v="ริสกี"/>
        <s v="ไทยวา"/>
        <s v="มะลิวัลย์ หมูอร่อย"/>
        <s v="ค่าใช้จ่าย"/>
        <s v="ไอติมเอเต้"/>
        <m/>
        <s v="ค่าสินค้า"/>
        <s v="พนักงานเบิก"/>
        <s v="ค่าสินค้้า (ผัก)"/>
        <s v="ฮะนาน"/>
        <s v="โปรเห็ด"/>
        <s v="กานพลู"/>
        <s v="เค เอส"/>
        <s v="ึค่าขนส่ง 2ฒษ1491"/>
        <s v="บุุญโฮม"/>
        <s v="ทีเอฟ เดอะเบส"/>
        <s v="น้ำถัง 6 ถง"/>
        <s v="สมชาย"/>
        <s v="บุญสิริ"/>
        <s v="นำทัพ"/>
        <s v="สำเภาทอง"/>
        <s v="เคอเรนท์"/>
        <s v="ว.ประกาย"/>
        <s v="ทรัพย์สมุทร"/>
        <s v="เบทาโกร"/>
        <s v="แพ.กุ้งทวี"/>
        <s v="ซีพี"/>
        <s v="ค่าใช้จ่าย (ส่วนทุน)"/>
        <s v="ผัก"/>
        <s v="โกลบอลเฮ้าส์"/>
        <s v="แพเจริญ"/>
        <s v="แม็คโคร"/>
        <s v="น้ำถัง"/>
        <s v="บุญโฮม"/>
        <s v="ค่าใช้จ่าย (โทรศัพท์)"/>
        <s v="ทรัพย์ไพศาล"/>
        <s v="ทวีวงษ์"/>
        <s v="ค่าน้ำ"/>
        <s v="ค่าใช้จ่าย (ค่าขยะ)"/>
        <s v="น้กจิ้มคุณนิด"/>
        <s v="บุุญสิริ"/>
        <s v="ซีเคฟูดส์"/>
        <s v="สินเจริญชัย"/>
        <s v="น้ำจิ้ม"/>
        <s v="บ.พิพัฒน์"/>
        <s v="ค่าขนส่ง 2ฒท9351"/>
        <s v="ทองสุขขอนแก่น"/>
        <s v="เคเอส"/>
        <s v="คิงส์ วิช"/>
        <s v="ทองสุุขสารคาม"/>
        <s v="บารมี"/>
        <s v="นายสุทัศน์"/>
        <s v="ฟ้าไทย"/>
        <s v="ทรัพยไพศาล"/>
        <s v="น้ำจิ้มกิ่งแก้ว"/>
        <s v="เงินทอน"/>
        <s v="ทรู"/>
        <s v="น้ำถัง "/>
        <s v="สินเจริญ"/>
        <s v="ธาริกันฟู้ดส์"/>
        <s v="ค่าใช้จ่าย (ซ่อมรถ)"/>
        <s v="บ้านรุ่งเรือน"/>
        <s v="น้ำจิ้มแชมป์"/>
        <s v="ค่าขนส่ง 4ฒข6106"/>
        <s v="ธนภรณ์"/>
        <s v="สำนักงานบัญชี"/>
        <s v="บุญศิริ"/>
        <s v="พีโอซี"/>
        <s v="ค่าขนส่ง บค6771"/>
        <s v="โกลบอลเฮาส์"/>
        <s v="ทองสุข ขอนแก่น"/>
        <s v="ทองสุุข ร้อยเอ็ด"/>
        <s v="ซันเหยียน"/>
        <s v="ปลาทูรุ่งเรือง"/>
        <s v="ธันย์รวินท์"/>
        <s v="สำเภา"/>
        <s v="รุ่งซีฟุ้ด"/>
      </sharedItems>
    </cacheField>
    <cacheField name="รายการสินค้า" numFmtId="165">
      <sharedItems containsBlank="1">
        <s v="น้ำแข็ง 2 ถุง 35.-"/>
        <s v="น้ำแข็ง  4 ถุง 35.-"/>
        <s v="ซุปหม่าลา 80 ก้อน"/>
        <s v="ค่าน้ำมันเต๋า"/>
        <s v="สไบหั่น"/>
        <s v="วุ้นเส้น500/5สอบ"/>
        <s v="3นุ่มเบคอนไสเล็กหมูเด้งสันคอเขียวชาบูชมพู"/>
        <s v="โต๊ะไม้ขนไก่กระจกตะกร้า"/>
        <s v="ไอติม"/>
        <m/>
        <s v="น้ำแข็ง  3 ถุง 35.-"/>
        <s v="ไส้กรอกรมควัน"/>
        <s v="แจงเบิก"/>
        <s v="หล่ำกาดขาวข้าวโพดหอม"/>
        <s v="เสือออส52โล"/>
        <s v="ค่าน้ำมันศัก"/>
        <s v="เห็ด8ลัง ใหญ่ 3ลัง"/>
        <s v="ลอกหนังชาบูนุ่มงาพริก3ชั้น"/>
        <s v="กาแฟ 3in1= 2 ห่อ"/>
        <s v="หมูเด้ ท้องม่อน บั้ง"/>
        <s v="ซุปหม่าล่า10 ชอง "/>
        <s v="นายวิษณุ สมวงษา"/>
        <s v="ขายำ หนองคาย"/>
        <s v="สไบผืน หั่น"/>
        <s v="ฟองเต้าหู้ทอด 1 ลัง/32 แพ็ค"/>
        <s v="เส้นหมึบ 20 ห่อ"/>
        <s v="น้ำถัง 6 ถง*15"/>
        <s v="นุ่มพริกเกาหลีคุโร"/>
        <s v="ค่าน้ำมันพี่ยุท"/>
        <s v="ดอลลี่ ลังฟ้า 20 ลัง"/>
        <s v="ปูม้า40/60 35 ลัง"/>
        <s v="ลอกหนัง ชาบู"/>
        <s v="ชิลี ราด้า วง เบบี๋"/>
        <s v="คอ500 อาเจนss ดอลลี่น้ำเงิน"/>
        <s v="พรุนผ่า4"/>
        <s v="น้ำแข็ง  2 ถุง 35.-"/>
        <s v="พี่ศักเบิก"/>
        <s v="มันเต๋า"/>
        <s v="กุ้งขาว 70-75"/>
        <s v="สันคอแท่ง100โล"/>
        <s v="ค่่าธรรมเนียมที่ดิน"/>
        <s v="ตับสไล"/>
        <s v="พี่ยุทเบิก"/>
        <s v="ผักบุ้ง "/>
        <s v="โบโลน่า 20 แพ็ค"/>
        <s v="ตับก้อน"/>
        <s v="เก้าอี้"/>
        <s v="เบคอนสด หมูงาพริกเกาหลี"/>
        <s v="ถาดโฟม 2 แถว"/>
        <s v="บุ้งกาดขาวหล่ำ"/>
        <s v="หน้ากากเชือมเขียงพลาสติกปลั๊กไฟ ผ้าเช็ค ถาดใส่เอกสสาร"/>
        <s v="ไม้กวาด หินลับมีด"/>
        <s v="กุ้งขาว45-50/20โล"/>
        <s v="ค่ามัดจำที่"/>
        <s v="เบียร์ลีโอช้างขวด อิชิตัน เย็นๆ สปอนเซอร์"/>
        <s v="สไบหั่น250กรอบหั่น100"/>
        <s v="หมูนุ่ม พริก "/>
        <s v="นาเบิก"/>
        <s v="ค่าตู้รถคอก"/>
        <s v="น้ำแข็ง 4 ถุง 35.-"/>
        <s v="เกาหลี งา นุ่ม พริก"/>
        <s v=" จี้ มันเต๋า"/>
        <s v="ตับ"/>
        <s v="น้ำ4ถัง*15"/>
        <s v="ถ้วยพลาสติก3000/2000"/>
        <s v="ถังดักไขมัน"/>
        <s v="ไส้ใหญ่เล็ก นุ่มงาพริกนำผึ้ง สามชั้นงานุ่ม"/>
        <s v="ค่าโทรศัพท์ ทรู (เบอร์k.shop)"/>
        <s v="สะดืออ่างซิงค์2หลุม+สก๊อตไบร์ท"/>
        <s v="ไข่นก50แพ็ค"/>
        <s v="ปูทอง ปูอัดชีส ทอนาโด"/>
        <s v="ตับก้อน 300โล"/>
        <s v="สไบหั่นกรอยตัว/หั่น"/>
        <s v="ค่าน้ำ"/>
        <s v="ค่าขยะ ก.ค-ก.ย เพิ่มถัง1ถัง"/>
        <s v="บุ้ง กาดขาว หล่ำ 2 ข้าวโพด หอม"/>
        <s v="สันคอ 70โล"/>
        <s v="เล็ก10 กลาง 10 ใหญ่ 7"/>
        <s v="เป็ดบดหนังเป็ดเครื่องในเป็ด หน้ากากหมู เกลือ"/>
        <s v="3ชั้นงา /นุ่ม"/>
        <s v="งาขาว พริกหม่าล่า น้ำมันหอย ซีวิทเลมอนส้มทับทิบ สิงขวด โซจู น้ำยาถูกพื้น"/>
        <s v="ริบอาย44.20"/>
        <s v="น้ำแข็ง 3 ถุง 35.-"/>
        <s v="ขายำ"/>
        <s v="กุ้งขาว45-50 20 โล"/>
        <s v="หินโม่ 8 คิว "/>
        <s v="สแลนเขียว2เมตร*100หลา"/>
        <s v="รถไถ เกลี่ยดิน ลากรถ"/>
        <s v="จี้"/>
        <s v="เต้าหู้ไข่"/>
        <s v="น้ำถัง 6 ถัง"/>
        <s v="เต้าหูู้้หมู"/>
        <s v="เส้นแก้ว10ลัง"/>
        <s v="ไส้เล็ก ชาบู สันคอ"/>
        <s v="วุ้นเส้น กืเลย500/5สอบ"/>
        <s v="น้ำถัง 2 ถัง"/>
        <s v="น้ำจิ้มกิ่งแก้ว"/>
        <s v="เทปใส 6 ม้วน ยาฉีดมด"/>
        <s v="สไบหั่น กรอบหั่น กรอบตัว"/>
        <s v="ตะเกียบ 30 ลัง"/>
        <s v="นุ่มงาเกาหลีพริก 3ชั้นtheone 3ชั้นม้วน 3ชั้นสไลไม่เรียง"/>
        <s v="เห็ดเล็ก10 ใหญ่ 2"/>
        <s v="น้ำแข็ง  6 ถุง 35.-"/>
        <s v="ตราชั่งติจิตอล"/>
        <s v="นายชญานนท์ พลรักษ์"/>
        <s v="ไส้ใหญ่/นุ่ม/งา/พริก/ผึ้ง/เกาหลี 3ชั้นนุ่ม/งา"/>
        <s v="สไบหั่น/ผืน กรอบตัว"/>
        <s v="คานิจังเมก้า เบนโต๊ ปูอัดไส้ชีส แฟนซี เต้าหู้ปลา กุ้งแม็กนั่ม เปาชีส คอมโบ ตัวปลา ก้ามมหาชัย"/>
        <s v="ท้องม่อน บั้ง"/>
        <s v="ชาบู3แถว ลอกหนัง"/>
        <s v="ปูอัดส้ม"/>
        <s v="คอเปรู ปลาทูจีน ดอลลี่หั่น อาเจนSS"/>
        <s v="เฟรนฟาย7มิล ชิลี หอยเชลล์ เรด้า วงปีก เบบี้"/>
        <s v="อาเจน100/200"/>
        <s v="ชีสยืด แฟนซี ยำสาหร่าย"/>
        <s v="ใบสั่งไปเอาปลาดอลลี่ที่อุดร "/>
        <s v="รถเต๋าไปเอาดอลลี่ อุดร"/>
        <s v="ไส้กรอกหนังกรอบ 10 กก"/>
        <s v="มันแผ่น มันเต๋า จี้"/>
        <s v="ลวด 10+ค้อนปอนด้ามไม้"/>
        <s v="เต๋าเบิก"/>
        <s v="ดอลลลี่ม่วง 200 ลัง"/>
        <s v="เมก้า เบนโตะ ปูอัดชีส แองกี้ ฟรุ้ตตี้ เต้าหู้ปลา เปาชีส คอมโบ ตัวปลา ก้ามมหาชัย"/>
        <s v="น้ำแข็ง 1 ถุง 35.-"/>
        <s v="ผักบุ้ง"/>
        <s v="น้ำ 2  ถัง"/>
        <s v="แมงสะดิ้ง27กก(103) จิ้งหรีด27กก (103)"/>
        <s v="หมูพริก คุโรบุตะ "/>
        <s v="ดอลลี่ฟ้า30ลัง"/>
        <s v="เสือออส"/>
        <s v="ผักบุ้ง+หล่ำ"/>
        <s v="วุ้นเส้น เส้นเกาหลี"/>
        <s v="ซุปชาบู ซุปแจ่วฮ้อน"/>
        <s v="โบโลน่า"/>
        <s v="สันคอแท่ง"/>
        <s v="สไบหั่น 200 กรอบหั่น100"/>
        <s v="เห็ด14 ลัง ใหญ่ 1"/>
        <s v="ตับก้อน 228 กก."/>
        <s v="ไข่นก เบคอนพันไส้กรอก"/>
        <s v="เกาหลี งา นุ่ม สามชั้นม้วน"/>
        <s v="น้ำจิ้มกิ่งแก้ว20ขวด"/>
        <s v="เส้นแก้ว"/>
        <s v="มันแผ่น"/>
        <s v="ไส้ตัน ไส้ลวก ไส้อ่อน"/>
        <s v="เงินทอน"/>
        <s v="กระดาษA4"/>
        <s v="จี้ 85 กก."/>
        <s v="สไบหั่น300"/>
        <s v="บุกม้วน"/>
        <s v="ผักบุ้ง หล่ำ หอม"/>
        <s v="ถ้วยพลาสติก2000 720 /3000 785 2 ลัง"/>
        <s v="ค่าเน็ตร้าน"/>
        <s v="สันนอก 50 กก"/>
        <s v="ซุปหม่าล่า 40 ก้อน"/>
        <s v="5 ถัง*15"/>
        <s v="น้ำมันมอไซค์"/>
        <s v="ไส้ลวก50 กก"/>
        <s v="พรุน10ถัง"/>
        <s v="แครปโตะ 3 ลัง"/>
        <s v="บุ้ง 80 หล่ำ80 โพด120"/>
        <s v="สไบผืน150 กรอบตัว150/หั่น100"/>
        <s v="ปูทอง 5 เปาชีส5"/>
        <s v="สามชั้นสไลด์ 20 กก /จี้50กก"/>
        <s v="หอยภู่ต้ม 20 ถุง ไข่นก 20 ถุง"/>
        <s v="น้ำจิ้มกิ่งแก้ว 30 ขวด/27"/>
        <s v="สันคอ 140 กก"/>
        <s v="กาแฟ3/1 โคักป๋องลีโอป๋อง น้ำยาล้างจานล้างมือถูกพื้น"/>
        <s v="สไบหั่น200 กรอบตัว150"/>
        <s v="นุ่ม100 คุโร50"/>
        <s v="เกาหลีงานุ่มพริก 3นุ่ม 3ลอกเรียง"/>
        <s v="ตรวจสภาพรถ"/>
        <s v="เส้นหนึบ6ลัง /890"/>
        <s v="3ชั้นแผ่น99.40กก จี้ 50กก"/>
        <s v="เส้นกิเลน500/200 เส้นเกาหลี"/>
        <s v="ชาบูนมสดนับเบอวัน"/>
        <s v="สันนอก50กก"/>
        <s v="น้ำจิ้มแชมป์1000กรัม/5ลัง"/>
        <s v="นายพรประเสริฐ บุระ"/>
        <s v="หล่ำ 80 บุ้ง 45 ข้าวโพด 120"/>
        <s v="กระพรุณ180ถัง"/>
        <s v="เห็ด200/14ลัง"/>
        <s v="ค่าจัดตั้ง บริษัท โพนพิสัย"/>
        <s v="ไส้เล็ก100 นุ่ม30งา10พริก20"/>
        <s v="4 ถัง/ 15 บาท"/>
        <s v="เนื้อสันคอ 46กก น่อง48.40กก"/>
        <s v="3ชั้นสไล20กก"/>
        <s v="3ชั้น3A ชาบู ลอกหนัง"/>
        <s v="ไข่นก50ถุง"/>
        <s v="ถุงมือยาง1กล่อง"/>
        <s v="โบโลน่า20ถุง"/>
        <s v="สันคอ 100 สันนอก100"/>
        <s v="บุ้ง 60 หอม 70"/>
        <s v="ดอลลี่ฟ้า 30 ลัง"/>
        <s v="ไอติมเอเต้"/>
        <s v="ริบอาย49.50กก"/>
        <s v="สไบหั่น300 กรอบหั่น150"/>
        <s v="ขายำ100กก"/>
        <s v="น้ำจิ้มกิ่งแก้ว 30 ขวด"/>
        <s v="เบนโตะ เปาชีส"/>
        <s v="นายกิติพงษ์ ศิริวงขันธ์"/>
        <s v="เหล็กทำคอกห้องเย็น"/>
        <s v="อาหารช่าง+ข้าวเหนียว"/>
        <s v="เกาหลีงานุ่มพริก 3ชั้นtheone 3ลอกเรียง"/>
        <s v="นุ่ม100กก"/>
        <s v="ไส้ตันสดแช่แข็ง หมูบด สันคอแท่ง สันนอกแท่ง"/>
        <s v="เต้าหู้ชีส8ลัง"/>
        <s v="ฟองเต้าหู้ทอดปลาการ์ตูน ทูโทนไข่กุ้ง นักเก็ต ไก่ป๊อป ไส้ญ/ล ดักแด้ ขนมจีบ"/>
        <s v="หอยหวาน20/30"/>
        <s v="ปลาทูจีน"/>
        <s v="หมึกอเมริกา"/>
        <s v="ท้องม่อน บั้ง หมูเด้ง หอยหวาน50/80 10/20 หอยเชลฝาเดียว"/>
        <s v="ชาบู3แถว "/>
        <s v="สไบหั่น 300 กรอบตัว200หั่น100"/>
        <s v="หมึกกระดอง "/>
        <s v="ดอลลี่น้ำเงิน อาเจน"/>
        <s v="ชิลี เนื้อเชล/แครง/ภู่ เรด้า เบบี้ เฟรน7 "/>
        <s v="แฟนซี ยำสาหร่าย"/>
      </sharedItems>
    </cacheField>
    <cacheField name="จำนวนเงิน" numFmtId="3">
      <sharedItems containsString="0" containsBlank="1" containsNumber="1">
        <n v="70.0"/>
        <n v="140.0"/>
        <n v="654.0"/>
        <n v="1000.0"/>
        <n v="12000.0"/>
        <n v="3375.0"/>
        <n v="33710.0"/>
        <n v="1376.0"/>
        <n v="5913.0"/>
        <m/>
        <n v="105.0"/>
        <n v="400.0"/>
        <n v="500.0"/>
        <n v="720.0"/>
        <n v="12220.0"/>
        <n v="3090.0"/>
        <n v="244860.0"/>
        <n v="283.0"/>
        <n v="30750.0"/>
        <n v="282.0"/>
        <n v="8000.0"/>
        <n v="4900.0"/>
        <n v="38500.0"/>
        <n v="39686.0"/>
        <n v="1290.0"/>
        <n v="310.0"/>
        <n v="90.0"/>
        <n v="20100.0"/>
        <n v="9400.0"/>
        <n v="14800.0"/>
        <n v="12360.0"/>
        <n v="23400.0"/>
        <n v="28200.0"/>
        <n v="75511.0"/>
        <n v="2000.0"/>
        <n v="225.0"/>
        <n v="3180.0"/>
        <n v="10300.0"/>
        <n v="26720.0"/>
        <n v="4300.0"/>
        <n v="40.0"/>
        <n v="1500.0"/>
        <n v="1140.0"/>
        <n v="3080.0"/>
        <n v="990.0"/>
        <n v="22200.0"/>
        <n v="490.0"/>
        <n v="1486.0"/>
        <n v="80.0"/>
        <n v="4030.0"/>
        <n v="100000.0"/>
        <n v="3398.0"/>
        <n v="14000.0"/>
        <n v="35000.0"/>
        <n v="21500.0"/>
        <n v="6135.0"/>
        <n v="4800.0"/>
        <n v="60.0"/>
        <n v="1505.0"/>
        <n v="1210.0"/>
        <n v="36980.0"/>
        <n v="249.92"/>
        <n v="347.0"/>
        <n v="3100.0"/>
        <n v="9100.0"/>
        <n v="15000.0"/>
        <n v="360.0"/>
        <n v="33250.0"/>
        <n v="353.0"/>
        <n v="250.0"/>
        <n v="7210.0"/>
        <n v="21020.0"/>
        <n v="8026.0"/>
        <n v="7350.0"/>
        <n v="4190.0"/>
        <n v="7469.8"/>
        <n v="35.0"/>
        <n v="4075.0"/>
        <n v="8800.0"/>
        <n v="1300.0"/>
        <n v="300.0"/>
        <n v="2100.0"/>
        <n v="550.0"/>
        <n v="1560.0"/>
        <n v="6000.0"/>
        <n v="29100.0"/>
        <n v="1200.0"/>
        <n v="30.0"/>
        <n v="540.0"/>
        <n v="204.0"/>
        <n v="49515.0"/>
        <n v="14100.0"/>
        <n v="34020.0"/>
        <n v="3070.0"/>
        <n v="210.0"/>
        <n v="100.0"/>
        <n v="669.0"/>
        <n v="22500.0"/>
        <n v="3200.0"/>
        <n v="52150.0"/>
        <n v="51370.0"/>
        <n v="24000.0"/>
        <n v="25200.0"/>
        <n v="16000.0"/>
        <n v="49484.0"/>
        <n v="55178.0"/>
        <n v="37928.7"/>
        <n v="34200.0"/>
        <n v="800.0"/>
        <n v="1776.0"/>
        <n v="305.0"/>
        <n v="102000.0"/>
        <n v="33990.0"/>
        <n v="50.0"/>
        <n v="5562.0"/>
        <n v="18000.0"/>
        <n v="9960.0"/>
        <n v="190.0"/>
        <n v="380.0"/>
        <n v="1680.0"/>
        <n v="10800.0"/>
        <n v="33300.0"/>
        <n v="3540.0"/>
        <n v="11856.0"/>
        <n v="854.0"/>
        <n v="10092.0"/>
        <n v="1950.0"/>
        <n v="975.0"/>
        <n v="3000.0"/>
        <n v="4000.0"/>
        <n v="2580.0"/>
        <n v="825.0"/>
        <n v="2315.0"/>
        <n v="103.0"/>
        <n v="4250.0"/>
        <n v="36900.0"/>
        <n v="3745.0"/>
        <n v="260.0"/>
        <n v="555.33"/>
        <n v="374.0"/>
        <n v="75.0"/>
        <n v="1025.0"/>
        <n v="280.0"/>
        <n v="43500.0"/>
        <n v="11900.0"/>
        <n v="5600.0"/>
        <n v="2630.0"/>
        <n v="810.0"/>
        <n v="15820.0"/>
        <n v="2215.0"/>
        <n v="37650.0"/>
        <n v="12500.0"/>
        <n v="17800.0"/>
        <n v="1641.0"/>
        <n v="5340.0"/>
        <n v="17161.2"/>
        <n v="6875.29"/>
        <n v="8500.0"/>
        <n v="5000.0"/>
        <n v="3750.0"/>
        <n v="245.0"/>
        <n v="73400.0"/>
        <n v="3150.0"/>
        <n v="11500.0"/>
        <n v="16200.0"/>
        <n v="16728.0"/>
        <n v="3160.0"/>
        <n v="197800.0"/>
        <n v="195.0"/>
        <n v="21300.0"/>
        <n v="130.0"/>
        <n v="13800.0"/>
        <n v="680.31"/>
        <n v="8514.0"/>
        <n v="49950.0"/>
        <n v="4700.0"/>
        <n v="13500.0"/>
        <n v="7920.0"/>
        <n v="6915.0"/>
        <n v="559.0"/>
        <n v="19925.0"/>
        <n v="7000.0"/>
        <n v="23370.0"/>
        <n v="11120.0"/>
        <n v="38534.0"/>
        <n v="13440.0"/>
        <n v="11400.0"/>
        <n v="22400.0"/>
        <n v="44960.0"/>
        <n v="20500.0"/>
        <n v="63000.0"/>
        <n v="17300.0"/>
        <n v="54270.0"/>
        <n v="58800.0"/>
        <n v="16750.0"/>
      </sharedItems>
    </cacheField>
    <cacheField name="ชำระเงิน " numFmtId="165">
      <sharedItems containsString="0" containsBlank="1" containsNumber="1">
        <n v="70.0"/>
        <n v="140.0"/>
        <n v="654.0"/>
        <n v="1000.0"/>
        <n v="12000.0"/>
        <n v="3375.0"/>
        <n v="33710.0"/>
        <n v="1376.0"/>
        <n v="5913.0"/>
        <m/>
        <n v="105.0"/>
        <n v="400.0"/>
        <n v="500.0"/>
        <n v="720.0"/>
        <n v="12220.0"/>
        <n v="3090.0"/>
        <n v="184860.0"/>
        <n v="60000.0"/>
        <n v="283.0"/>
        <n v="30750.0"/>
        <n v="282.0"/>
        <n v="8000.0"/>
        <n v="4900.0"/>
        <n v="38500.0"/>
        <n v="39686.0"/>
        <n v="1290.0"/>
        <n v="310.0"/>
        <n v="90.0"/>
        <n v="20100.0"/>
        <n v="9400.0"/>
        <n v="14800.0"/>
        <n v="12360.0"/>
        <n v="23400.0"/>
        <n v="28200.0"/>
        <n v="75511.0"/>
        <n v="2000.0"/>
        <n v="225.0"/>
        <n v="3180.0"/>
        <n v="10300.0"/>
        <n v="26720.0"/>
        <n v="4300.0"/>
        <n v="40.0"/>
        <n v="1500.0"/>
        <n v="1140.0"/>
        <n v="3080.0"/>
        <n v="990.0"/>
        <n v="22000.0"/>
        <n v="490.0"/>
        <n v="1486.0"/>
        <n v="80.0"/>
        <n v="4030.0"/>
        <n v="100000.0"/>
        <n v="3398.0"/>
        <n v="14000.0"/>
        <n v="35000.0"/>
        <n v="21500.0"/>
        <n v="6135.0"/>
        <n v="4800.0"/>
        <n v="60.0"/>
        <n v="1505.0"/>
        <n v="1210.0"/>
        <n v="36980.0"/>
        <n v="249.92"/>
        <n v="347.0"/>
        <n v="3100.0"/>
        <n v="9100.0"/>
        <n v="15000.0"/>
        <n v="360.0"/>
        <n v="33250.0"/>
        <n v="353.0"/>
        <n v="250.0"/>
        <n v="7210.0"/>
        <n v="21020.0"/>
        <n v="8026.0"/>
        <n v="7350.0"/>
        <n v="4190.0"/>
        <n v="7469.0"/>
        <n v="4075.0"/>
        <n v="8800.0"/>
        <n v="1300.0"/>
        <n v="300.0"/>
        <n v="2100.0"/>
        <n v="550.0"/>
        <n v="1560.0"/>
        <n v="6000.0"/>
        <n v="29100.0"/>
        <n v="1200.0"/>
        <n v="30.0"/>
        <n v="540.0"/>
        <n v="204.0"/>
        <n v="49515.0"/>
        <n v="14100.0"/>
        <n v="34020.0"/>
        <n v="3070.0"/>
        <n v="210.0"/>
        <n v="100.0"/>
        <n v="669.0"/>
        <n v="22500.0"/>
        <n v="3200.0"/>
        <n v="51370.0"/>
        <n v="24000.0"/>
        <n v="25200.0"/>
        <n v="16000.0"/>
        <n v="49484.0"/>
        <n v="55148.0"/>
        <n v="37929.0"/>
        <n v="34200.0"/>
        <n v="800.0"/>
        <n v="1776.0"/>
        <n v="305.0"/>
        <n v="23000.0"/>
        <n v="79000.0"/>
        <n v="33990.0"/>
        <n v="35.0"/>
        <n v="50.0"/>
        <n v="5562.0"/>
        <n v="18000.0"/>
        <n v="9960.0"/>
        <n v="190.0"/>
        <n v="380.0"/>
        <n v="1680.0"/>
        <n v="10800.0"/>
        <n v="33300.0"/>
        <n v="3540.0"/>
        <n v="11856.0"/>
        <n v="854.0"/>
        <n v="10092.0"/>
        <n v="1950.0"/>
        <n v="975.0"/>
        <n v="3000.0"/>
        <n v="4000.0"/>
        <n v="2580.0"/>
        <n v="825.0"/>
        <n v="2315.0"/>
        <n v="103.0"/>
        <n v="4250.0"/>
        <n v="36900.0"/>
        <n v="3745.0"/>
        <n v="260.0"/>
        <n v="555.33"/>
        <n v="374.0"/>
        <n v="75.0"/>
        <n v="1025.0"/>
        <n v="280.0"/>
        <n v="43500.0"/>
        <n v="11900.0"/>
        <n v="5600.0"/>
        <n v="2630.0"/>
        <n v="810.0"/>
        <n v="15820.0"/>
        <n v="2215.0"/>
        <n v="37650.0"/>
        <n v="12500.0"/>
        <n v="17800.0"/>
        <n v="1641.0"/>
        <n v="5340.0"/>
        <n v="17161.0"/>
        <n v="6875.0"/>
        <n v="8500.0"/>
        <n v="5000.0"/>
        <n v="3750.0"/>
        <n v="245.0"/>
        <n v="40000.0"/>
        <n v="9000.0"/>
        <n v="24400.0"/>
        <n v="3150.0"/>
        <n v="11500.0"/>
        <n v="16200.0"/>
        <n v="528.0"/>
        <n v="3160.0"/>
        <n v="42400.0"/>
        <n v="23800.0"/>
        <n v="122800.0"/>
        <n v="195.0"/>
        <n v="21300.0"/>
        <n v="130.0"/>
        <n v="13800.0"/>
        <n v="680.31"/>
        <n v="8514.0"/>
        <n v="49950.0"/>
        <n v="4700.0"/>
        <n v="13500.0"/>
        <n v="7920.0"/>
        <n v="6915.0"/>
        <n v="559.0"/>
        <n v="19925.0"/>
        <n v="7000.0"/>
        <n v="23370.0"/>
        <n v="11120.0"/>
        <n v="38534.0"/>
        <n v="13440.0"/>
        <n v="11400.0"/>
        <n v="22400.0"/>
        <n v="44960.0"/>
        <n v="20500.0"/>
        <n v="63000.0"/>
        <n v="17300.0"/>
        <n v="54270.0"/>
        <n v="58800.0"/>
        <n v="16750.0"/>
      </sharedItems>
    </cacheField>
    <cacheField name="วันที่ชำระเงิน">
      <sharedItems containsDate="1" containsBlank="1" containsMixedTypes="1">
        <d v="2026-08-01T00:00:00Z"/>
        <d v="2026-08-10T00:00:00Z"/>
        <m/>
        <d v="2026-08-02T00:00:00Z"/>
        <d v="2026-08-08T00:00:00Z"/>
        <d v="2026-08-15T00:00:00Z"/>
        <d v="2026-08-18T00:00:00Z"/>
        <d v="2026-08-03T00:00:00Z"/>
        <d v="2026-08-07T00:00:00Z"/>
        <d v="2026-08-25T00:00:00Z"/>
        <d v="2026-08-04T00:00:00Z"/>
        <d v="2026-08-05T00:00:00Z"/>
        <d v="2026-08-06T00:00:00Z"/>
        <d v="2026-08-20T00:00:00Z"/>
        <d v="2026-08-09T00:00:00Z"/>
        <d v="2026-08-19T00:00:00Z"/>
        <d v="2026-08-11T00:00:00Z"/>
        <d v="2026-08-12T00:00:00Z"/>
        <d v="2026-08-13T00:00:00Z"/>
        <d v="2026-08-14T00:00:00Z"/>
        <d v="2026-08-29T00:00:00Z"/>
        <d v="2026-09-01T00:00:00Z"/>
        <s v="รอเคลียร์ สารคาม"/>
        <d v="2026-08-16T00:00:00Z"/>
        <d v="2026-08-17T00:00:00Z"/>
        <d v="2026-08-21T00:00:00Z"/>
        <d v="2026-08-23T00:00:00Z"/>
        <d v="2026-08-22T00:00:00Z"/>
        <d v="2026-08-26T00:00:00Z"/>
        <d v="2026-08-24T00:00:00Z"/>
        <d v="2026-08-27T00:00:00Z"/>
        <d v="2026-09-02T00:00:00Z"/>
        <d v="2026-09-12T00:00:00Z"/>
        <d v="2026-08-28T00:00:00Z"/>
        <d v="2026-08-30T00:00:00Z"/>
        <d v="2026-08-31T00:00:00Z"/>
        <d v="2026-09-04T00:00:00Z"/>
        <d v="2026-09-14T00:00:00Z"/>
      </sharedItems>
    </cacheField>
    <cacheField name="ชื่อบัญชี (จ่าย)" numFmtId="0">
      <sharedItems containsBlank="1">
        <s v="จ่ายสด"/>
        <s v="พวงประกา"/>
        <m/>
        <s v="พวงประกา "/>
        <s v="รอเคลียร์ สารคาม"/>
        <s v="พวงประก"/>
        <s v="คำตัน"/>
        <s v="หักเข้าทุน"/>
      </sharedItems>
    </cacheField>
    <cacheField name="ธนาคาร" numFmtId="0">
      <sharedItems containsBlank="1">
        <s v="เงินร้าน"/>
        <s v="กรุงไทย"/>
        <m/>
        <s v="กรุงศรี"/>
        <s v="กรุุงไทย"/>
      </sharedItems>
    </cacheField>
    <cacheField name="ค้างจ่าย   0" numFmtId="0">
      <sharedItems containsBlank="1">
        <m/>
        <s v="โพนทองสำรองจ่าย 2/8"/>
        <s v="โอน 14600 "/>
        <s v="ค่าถอดน้องแพทออกจากโฉนด"/>
        <s v="โอนรวม 2บิล 10935"/>
        <s v="ทวีวงษ์ บ่อ่ะ"/>
        <s v="รับอาเจน3กก"/>
        <s v="รับอาเจน247.9กก"/>
        <s v="ใบสั่งความเร็ว"/>
        <s v="โอนรวม 12480"/>
        <s v="โอน  21/8 7655 (2580+825+4250)"/>
        <s v="ส่วนตัว รอโอนคืน"/>
        <s v="คำตัน 29/8  22440(1140+21300)"/>
      </sharedItems>
    </cacheField>
    <cacheField name="หมายเหตุ แยก คชจ." numFmtId="0">
      <sharedItems containsBlank="1">
        <m/>
        <s v="โอนคืนแล้ว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ตาราง Pivot 1" cacheId="0" dataCaption="" compact="0" compactData="0">
  <location ref="A1:G41" firstHeaderRow="0" firstDataRow="1" firstDataCol="1"/>
  <pivotFields>
    <pivotField name="วันที่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เจ้าหนี้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รายการสินค้า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จำนวนเงิน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ชำระเงิน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วันที่ชำระเงิน" axis="axisRow" compact="0" outline="0" multipleItemSelectionAllowed="1" showAll="0" sortType="ascending">
      <items>
        <item x="2"/>
        <item x="0"/>
        <item x="3"/>
        <item x="7"/>
        <item x="10"/>
        <item x="11"/>
        <item x="12"/>
        <item x="8"/>
        <item x="4"/>
        <item x="14"/>
        <item x="1"/>
        <item x="16"/>
        <item x="17"/>
        <item x="18"/>
        <item x="19"/>
        <item x="5"/>
        <item x="23"/>
        <item x="24"/>
        <item x="6"/>
        <item x="15"/>
        <item x="13"/>
        <item x="25"/>
        <item x="27"/>
        <item x="26"/>
        <item x="29"/>
        <item x="9"/>
        <item x="28"/>
        <item x="30"/>
        <item x="33"/>
        <item x="20"/>
        <item x="34"/>
        <item x="35"/>
        <item x="21"/>
        <item x="31"/>
        <item x="36"/>
        <item x="32"/>
        <item x="37"/>
        <item x="22"/>
        <item t="default"/>
      </items>
    </pivotField>
    <pivotField name="ชื่อบัญชี (จ่าย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ธนาคาร" axis="axisCol" compact="0" outline="0" multipleItemSelectionAllowed="1" showAll="0" sortType="ascending">
      <items>
        <item x="2"/>
        <item x="1"/>
        <item x="3"/>
        <item x="4"/>
        <item x="0"/>
        <item t="default"/>
      </items>
    </pivotField>
    <pivotField name="ค้างจ่าย   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หมายเหตุ แยก คชจ." compact="0" outline="0" multipleItemSelectionAllowed="1" showAll="0">
      <items>
        <item x="0"/>
        <item x="1"/>
        <item t="default"/>
      </items>
    </pivotField>
  </pivotFields>
  <rowFields>
    <field x="5"/>
  </rowFields>
  <colFields>
    <field x="7"/>
  </colFields>
  <dataFields>
    <dataField name="SUM of ชำระเงิน 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>
      <c r="A42" s="21"/>
      <c r="B42" s="21"/>
      <c r="C42" s="21"/>
      <c r="D42" s="21"/>
      <c r="E42" s="21"/>
      <c r="F42" s="21"/>
      <c r="G42" s="21"/>
    </row>
    <row r="43">
      <c r="A43" s="21"/>
      <c r="B43" s="21"/>
      <c r="C43" s="21"/>
      <c r="D43" s="21"/>
      <c r="E43" s="21"/>
      <c r="F43" s="21"/>
      <c r="G43" s="21"/>
    </row>
    <row r="44">
      <c r="A44" s="21"/>
      <c r="B44" s="21"/>
      <c r="C44" s="21"/>
      <c r="D44" s="21"/>
      <c r="E44" s="21"/>
      <c r="F44" s="21"/>
      <c r="G44" s="21"/>
    </row>
    <row r="45">
      <c r="A45" s="21"/>
      <c r="B45" s="21"/>
      <c r="C45" s="21"/>
      <c r="D45" s="21"/>
      <c r="E45" s="21"/>
      <c r="F45" s="21"/>
      <c r="G45" s="21"/>
    </row>
    <row r="46">
      <c r="A46" s="21"/>
      <c r="B46" s="21"/>
      <c r="C46" s="21"/>
      <c r="D46" s="21"/>
      <c r="E46" s="21"/>
      <c r="F46" s="21"/>
      <c r="G46" s="21"/>
    </row>
    <row r="47">
      <c r="A47" s="21"/>
      <c r="B47" s="21"/>
      <c r="C47" s="21"/>
      <c r="D47" s="21"/>
      <c r="E47" s="21"/>
      <c r="F47" s="21"/>
      <c r="G47" s="21"/>
    </row>
    <row r="48">
      <c r="A48" s="21"/>
      <c r="B48" s="21"/>
      <c r="C48" s="21"/>
      <c r="D48" s="21"/>
      <c r="E48" s="21"/>
      <c r="F48" s="21"/>
      <c r="G48" s="21"/>
    </row>
    <row r="49">
      <c r="A49" s="21"/>
      <c r="B49" s="21"/>
      <c r="C49" s="21"/>
      <c r="D49" s="21"/>
      <c r="E49" s="21"/>
      <c r="F49" s="21"/>
      <c r="G49" s="21"/>
    </row>
    <row r="50">
      <c r="A50" s="21"/>
      <c r="B50" s="21"/>
      <c r="C50" s="21"/>
      <c r="D50" s="21"/>
      <c r="E50" s="21"/>
      <c r="F50" s="21"/>
      <c r="G50" s="21"/>
    </row>
    <row r="51">
      <c r="A51" s="21"/>
      <c r="B51" s="21"/>
      <c r="C51" s="21"/>
      <c r="D51" s="21"/>
      <c r="E51" s="21"/>
      <c r="F51" s="21"/>
      <c r="G51" s="21"/>
    </row>
    <row r="52">
      <c r="A52" s="21"/>
      <c r="B52" s="21"/>
      <c r="C52" s="21"/>
      <c r="D52" s="21"/>
      <c r="E52" s="21"/>
      <c r="F52" s="21"/>
      <c r="G52" s="21"/>
    </row>
    <row r="53">
      <c r="A53" s="21"/>
      <c r="B53" s="21"/>
      <c r="C53" s="21"/>
      <c r="D53" s="21"/>
      <c r="E53" s="21"/>
      <c r="F53" s="21"/>
      <c r="G53" s="21"/>
    </row>
    <row r="54">
      <c r="A54" s="21"/>
      <c r="B54" s="21"/>
      <c r="C54" s="21"/>
      <c r="D54" s="21"/>
      <c r="E54" s="21"/>
      <c r="F54" s="21"/>
      <c r="G54" s="21"/>
    </row>
    <row r="55">
      <c r="A55" s="21"/>
      <c r="B55" s="21"/>
      <c r="C55" s="21"/>
      <c r="D55" s="21"/>
      <c r="E55" s="21"/>
      <c r="F55" s="21"/>
      <c r="G55" s="21"/>
    </row>
    <row r="56">
      <c r="A56" s="21"/>
      <c r="B56" s="21"/>
      <c r="C56" s="21"/>
      <c r="D56" s="21"/>
      <c r="E56" s="21"/>
      <c r="F56" s="21"/>
      <c r="G56" s="21"/>
    </row>
    <row r="57">
      <c r="A57" s="21"/>
      <c r="B57" s="21"/>
      <c r="C57" s="21"/>
      <c r="D57" s="21"/>
      <c r="E57" s="21"/>
      <c r="F57" s="21"/>
      <c r="G57" s="21"/>
    </row>
    <row r="58">
      <c r="A58" s="21"/>
      <c r="B58" s="21"/>
      <c r="C58" s="21"/>
      <c r="D58" s="21"/>
      <c r="E58" s="21"/>
      <c r="F58" s="21"/>
      <c r="G58" s="21"/>
    </row>
    <row r="59">
      <c r="A59" s="21"/>
      <c r="B59" s="21"/>
      <c r="C59" s="21"/>
      <c r="D59" s="21"/>
      <c r="E59" s="21"/>
      <c r="F59" s="21"/>
      <c r="G59" s="21"/>
    </row>
    <row r="60">
      <c r="A60" s="21"/>
      <c r="B60" s="21"/>
      <c r="C60" s="21"/>
      <c r="D60" s="21"/>
      <c r="E60" s="21"/>
      <c r="F60" s="21"/>
      <c r="G60" s="21"/>
    </row>
    <row r="61">
      <c r="A61" s="21"/>
      <c r="B61" s="21"/>
      <c r="C61" s="21"/>
      <c r="D61" s="21"/>
      <c r="E61" s="21"/>
      <c r="F61" s="21"/>
      <c r="G61" s="21"/>
    </row>
    <row r="62">
      <c r="A62" s="21"/>
      <c r="B62" s="21"/>
      <c r="C62" s="21"/>
      <c r="D62" s="21"/>
      <c r="E62" s="21"/>
      <c r="F62" s="21"/>
      <c r="G62" s="21"/>
    </row>
    <row r="63">
      <c r="A63" s="21"/>
      <c r="B63" s="21"/>
      <c r="C63" s="21"/>
      <c r="D63" s="21"/>
      <c r="E63" s="21"/>
      <c r="F63" s="21"/>
      <c r="G63" s="21"/>
    </row>
    <row r="64">
      <c r="A64" s="21"/>
      <c r="B64" s="21"/>
      <c r="C64" s="21"/>
      <c r="D64" s="21"/>
      <c r="E64" s="21"/>
      <c r="F64" s="21"/>
      <c r="G64" s="21"/>
    </row>
    <row r="65">
      <c r="A65" s="21"/>
      <c r="B65" s="21"/>
      <c r="C65" s="21"/>
      <c r="D65" s="21"/>
      <c r="E65" s="21"/>
      <c r="F65" s="21"/>
      <c r="G65" s="21"/>
    </row>
    <row r="66">
      <c r="A66" s="21"/>
      <c r="B66" s="21"/>
      <c r="C66" s="21"/>
      <c r="D66" s="21"/>
      <c r="E66" s="21"/>
      <c r="F66" s="21"/>
      <c r="G66" s="21"/>
    </row>
    <row r="67">
      <c r="A67" s="21"/>
      <c r="B67" s="21"/>
      <c r="C67" s="21"/>
      <c r="D67" s="21"/>
      <c r="E67" s="21"/>
      <c r="F67" s="21"/>
      <c r="G67" s="21"/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13"/>
    <col customWidth="1" min="3" max="3" width="16.5"/>
    <col customWidth="1" min="7" max="7" width="15.25"/>
    <col customWidth="1" min="8" max="8" width="15.13"/>
    <col customWidth="1" min="9" max="9" width="12.63"/>
    <col customWidth="1" min="11" max="11" width="4.5"/>
  </cols>
  <sheetData>
    <row r="1">
      <c r="A1" s="1" t="s">
        <v>1</v>
      </c>
      <c r="B1" s="1" t="s">
        <v>2</v>
      </c>
      <c r="C1" s="1" t="s">
        <v>3</v>
      </c>
      <c r="D1" s="2" t="s">
        <v>4</v>
      </c>
      <c r="E1" s="3" t="s">
        <v>5</v>
      </c>
      <c r="F1" s="4" t="s">
        <v>6</v>
      </c>
      <c r="G1" s="5" t="s">
        <v>7</v>
      </c>
      <c r="H1" s="1" t="s">
        <v>8</v>
      </c>
      <c r="I1" s="8" t="str">
        <f> CONCAT("ค้างจ่าย   ", text( SUMIF($E$1:E42795,"",$D$1:D42795),"#,##0"))</f>
        <v>ค้างจ่าย   0</v>
      </c>
      <c r="L1" s="9"/>
    </row>
    <row r="2" hidden="1">
      <c r="A2" s="11">
        <v>46192.0</v>
      </c>
      <c r="B2" s="13" t="s">
        <v>11</v>
      </c>
      <c r="C2" s="13"/>
      <c r="D2" s="15">
        <v>16500.0</v>
      </c>
      <c r="E2" s="18">
        <v>16500.0</v>
      </c>
      <c r="F2" s="11">
        <v>46192.0</v>
      </c>
      <c r="G2" s="13" t="s">
        <v>13</v>
      </c>
      <c r="H2" s="13" t="s">
        <v>15</v>
      </c>
      <c r="L2" s="21"/>
    </row>
    <row r="3" hidden="1">
      <c r="A3" s="11">
        <v>46192.0</v>
      </c>
      <c r="B3" s="13" t="s">
        <v>18</v>
      </c>
      <c r="C3" s="13" t="s">
        <v>19</v>
      </c>
      <c r="D3" s="15">
        <v>15840.0</v>
      </c>
      <c r="E3" s="18">
        <v>15840.0</v>
      </c>
      <c r="F3" s="11">
        <v>46192.0</v>
      </c>
      <c r="G3" s="13" t="s">
        <v>13</v>
      </c>
      <c r="H3" s="13" t="s">
        <v>15</v>
      </c>
      <c r="L3" s="21"/>
    </row>
    <row r="4" hidden="1">
      <c r="A4" s="11">
        <v>46192.0</v>
      </c>
      <c r="B4" s="13" t="s">
        <v>21</v>
      </c>
      <c r="C4" s="13"/>
      <c r="D4" s="15">
        <v>3800.0</v>
      </c>
      <c r="E4" s="18">
        <v>3800.0</v>
      </c>
      <c r="F4" s="11">
        <v>46192.0</v>
      </c>
      <c r="G4" s="13" t="s">
        <v>13</v>
      </c>
      <c r="H4" s="13" t="s">
        <v>15</v>
      </c>
      <c r="L4" s="21"/>
    </row>
    <row r="5" hidden="1">
      <c r="A5" s="11">
        <v>46192.0</v>
      </c>
      <c r="B5" s="13" t="s">
        <v>21</v>
      </c>
      <c r="C5" s="13"/>
      <c r="D5" s="15">
        <v>22825.0</v>
      </c>
      <c r="E5" s="18">
        <v>22825.0</v>
      </c>
      <c r="F5" s="11">
        <v>46192.0</v>
      </c>
      <c r="G5" s="13" t="s">
        <v>13</v>
      </c>
      <c r="H5" s="13" t="s">
        <v>15</v>
      </c>
      <c r="L5" s="21"/>
    </row>
    <row r="6" hidden="1">
      <c r="A6" s="11">
        <v>46192.0</v>
      </c>
      <c r="B6" s="13" t="s">
        <v>22</v>
      </c>
      <c r="C6" s="13"/>
      <c r="D6" s="15">
        <v>34720.0</v>
      </c>
      <c r="E6" s="18">
        <v>34720.0</v>
      </c>
      <c r="F6" s="11">
        <v>46192.0</v>
      </c>
      <c r="G6" s="13" t="s">
        <v>13</v>
      </c>
      <c r="H6" s="13" t="s">
        <v>15</v>
      </c>
      <c r="L6" s="21"/>
    </row>
    <row r="7" hidden="1">
      <c r="A7" s="11">
        <v>46192.0</v>
      </c>
      <c r="B7" s="13" t="s">
        <v>23</v>
      </c>
      <c r="C7" s="13"/>
      <c r="D7" s="15">
        <v>49700.0</v>
      </c>
      <c r="E7" s="18">
        <v>49700.0</v>
      </c>
      <c r="F7" s="11">
        <v>46192.0</v>
      </c>
      <c r="G7" s="13" t="s">
        <v>13</v>
      </c>
      <c r="H7" s="13" t="s">
        <v>15</v>
      </c>
      <c r="L7" s="21"/>
    </row>
    <row r="8" hidden="1">
      <c r="A8" s="11">
        <v>46192.0</v>
      </c>
      <c r="B8" s="13" t="s">
        <v>27</v>
      </c>
      <c r="C8" s="13" t="s">
        <v>28</v>
      </c>
      <c r="D8" s="15">
        <v>11160.0</v>
      </c>
      <c r="E8" s="18">
        <v>11160.0</v>
      </c>
      <c r="F8" s="11">
        <v>46202.0</v>
      </c>
      <c r="G8" s="13" t="s">
        <v>29</v>
      </c>
      <c r="H8" s="13" t="s">
        <v>30</v>
      </c>
      <c r="L8" s="21"/>
    </row>
    <row r="9" hidden="1">
      <c r="A9" s="11">
        <v>46192.0</v>
      </c>
      <c r="B9" s="13" t="s">
        <v>31</v>
      </c>
      <c r="C9" s="13"/>
      <c r="D9" s="15">
        <v>17940.0</v>
      </c>
      <c r="E9" s="18">
        <v>17940.0</v>
      </c>
      <c r="F9" s="11">
        <v>46202.0</v>
      </c>
      <c r="G9" s="13" t="s">
        <v>29</v>
      </c>
      <c r="H9" s="13" t="s">
        <v>30</v>
      </c>
      <c r="I9" s="37" t="s">
        <v>32</v>
      </c>
      <c r="L9" s="21"/>
    </row>
    <row r="10" hidden="1">
      <c r="A10" s="11">
        <v>46192.0</v>
      </c>
      <c r="B10" s="13" t="s">
        <v>33</v>
      </c>
      <c r="C10" s="13"/>
      <c r="D10" s="15">
        <v>75980.0</v>
      </c>
      <c r="E10" s="18">
        <v>75980.0</v>
      </c>
      <c r="F10" s="11">
        <v>46214.0</v>
      </c>
      <c r="G10" s="13" t="s">
        <v>36</v>
      </c>
      <c r="H10" s="13" t="s">
        <v>37</v>
      </c>
      <c r="L10" s="21"/>
    </row>
    <row r="11" hidden="1">
      <c r="A11" s="11">
        <v>46192.0</v>
      </c>
      <c r="B11" s="13" t="s">
        <v>39</v>
      </c>
      <c r="C11" s="13"/>
      <c r="D11" s="15">
        <v>55837.5</v>
      </c>
      <c r="E11" s="18">
        <v>55837.5</v>
      </c>
      <c r="F11" s="11">
        <v>46208.0</v>
      </c>
      <c r="G11" s="13" t="s">
        <v>36</v>
      </c>
      <c r="H11" s="13" t="s">
        <v>42</v>
      </c>
      <c r="L11" s="21"/>
    </row>
    <row r="12" hidden="1">
      <c r="A12" s="11">
        <v>46192.0</v>
      </c>
      <c r="B12" s="13" t="s">
        <v>45</v>
      </c>
      <c r="C12" s="13" t="s">
        <v>46</v>
      </c>
      <c r="D12" s="15">
        <v>5416.0</v>
      </c>
      <c r="E12" s="18">
        <v>5416.0</v>
      </c>
      <c r="F12" s="11">
        <v>46202.0</v>
      </c>
      <c r="G12" s="13" t="s">
        <v>47</v>
      </c>
      <c r="H12" s="13" t="s">
        <v>47</v>
      </c>
      <c r="L12" s="21"/>
    </row>
    <row r="13" hidden="1">
      <c r="A13" s="11">
        <v>46192.0</v>
      </c>
      <c r="B13" s="13" t="s">
        <v>45</v>
      </c>
      <c r="C13" s="13" t="s">
        <v>51</v>
      </c>
      <c r="D13" s="15">
        <v>36080.0</v>
      </c>
      <c r="E13" s="18">
        <v>36080.0</v>
      </c>
      <c r="F13" s="11">
        <v>46202.0</v>
      </c>
      <c r="G13" s="13" t="s">
        <v>47</v>
      </c>
      <c r="H13" s="13" t="s">
        <v>47</v>
      </c>
      <c r="L13" s="21"/>
    </row>
    <row r="14" hidden="1">
      <c r="A14" s="11">
        <v>46192.0</v>
      </c>
      <c r="B14" s="13" t="s">
        <v>57</v>
      </c>
      <c r="C14" s="13" t="s">
        <v>58</v>
      </c>
      <c r="D14" s="15">
        <v>64280.0</v>
      </c>
      <c r="E14" s="18">
        <v>64280.0</v>
      </c>
      <c r="F14" s="11">
        <v>46200.0</v>
      </c>
      <c r="G14" s="13" t="s">
        <v>61</v>
      </c>
      <c r="H14" s="13" t="s">
        <v>47</v>
      </c>
      <c r="L14" s="21"/>
    </row>
    <row r="15" hidden="1">
      <c r="A15" s="11">
        <v>46192.0</v>
      </c>
      <c r="B15" s="13" t="s">
        <v>63</v>
      </c>
      <c r="C15" s="13" t="s">
        <v>64</v>
      </c>
      <c r="D15" s="15">
        <v>109294.0</v>
      </c>
      <c r="E15" s="18">
        <v>109294.0</v>
      </c>
      <c r="F15" s="11">
        <v>46195.0</v>
      </c>
      <c r="G15" s="13" t="s">
        <v>66</v>
      </c>
      <c r="H15" s="13" t="s">
        <v>67</v>
      </c>
      <c r="L15" s="21"/>
    </row>
    <row r="16" hidden="1">
      <c r="A16" s="50">
        <v>46192.0</v>
      </c>
      <c r="B16" s="53" t="s">
        <v>38</v>
      </c>
      <c r="C16" s="53" t="s">
        <v>74</v>
      </c>
      <c r="D16" s="56">
        <v>1000.0</v>
      </c>
      <c r="E16" s="59">
        <v>1000.0</v>
      </c>
      <c r="F16" s="61">
        <v>46192.0</v>
      </c>
      <c r="G16" s="53" t="s">
        <v>36</v>
      </c>
      <c r="H16" s="53" t="s">
        <v>75</v>
      </c>
      <c r="L16" s="21"/>
    </row>
    <row r="17" hidden="1">
      <c r="A17" s="11">
        <v>46193.0</v>
      </c>
      <c r="B17" s="13" t="s">
        <v>76</v>
      </c>
      <c r="C17" s="13" t="s">
        <v>77</v>
      </c>
      <c r="D17" s="15">
        <v>5100.0</v>
      </c>
      <c r="E17" s="18">
        <v>5100.0</v>
      </c>
      <c r="F17" s="11">
        <v>46195.0</v>
      </c>
      <c r="G17" s="65" t="s">
        <v>29</v>
      </c>
      <c r="H17" s="65" t="s">
        <v>79</v>
      </c>
      <c r="L17" s="21"/>
    </row>
    <row r="18" hidden="1">
      <c r="A18" s="11">
        <v>46193.0</v>
      </c>
      <c r="B18" s="13" t="s">
        <v>80</v>
      </c>
      <c r="C18" s="13" t="s">
        <v>82</v>
      </c>
      <c r="D18" s="15">
        <v>12000.0</v>
      </c>
      <c r="E18" s="18">
        <v>12000.0</v>
      </c>
      <c r="F18" s="11">
        <v>46195.0</v>
      </c>
      <c r="G18" s="65" t="s">
        <v>29</v>
      </c>
      <c r="H18" s="13" t="s">
        <v>84</v>
      </c>
      <c r="L18" s="21"/>
    </row>
    <row r="19" hidden="1">
      <c r="A19" s="11">
        <v>46193.0</v>
      </c>
      <c r="B19" s="13" t="s">
        <v>85</v>
      </c>
      <c r="C19" s="13" t="s">
        <v>87</v>
      </c>
      <c r="D19" s="15">
        <v>59750.0</v>
      </c>
      <c r="E19" s="18">
        <v>59750.0</v>
      </c>
      <c r="F19" s="11">
        <v>46193.0</v>
      </c>
      <c r="G19" s="13" t="s">
        <v>88</v>
      </c>
      <c r="H19" s="13" t="s">
        <v>90</v>
      </c>
      <c r="L19" s="21"/>
    </row>
    <row r="20" hidden="1">
      <c r="A20" s="11">
        <v>46193.0</v>
      </c>
      <c r="B20" s="13" t="s">
        <v>10</v>
      </c>
      <c r="C20" s="13" t="s">
        <v>91</v>
      </c>
      <c r="D20" s="15">
        <v>320.0</v>
      </c>
      <c r="E20" s="18">
        <v>320.0</v>
      </c>
      <c r="F20" s="11">
        <v>46193.0</v>
      </c>
      <c r="G20" s="13" t="s">
        <v>14</v>
      </c>
      <c r="H20" s="13" t="s">
        <v>92</v>
      </c>
      <c r="L20" s="21"/>
    </row>
    <row r="21" hidden="1">
      <c r="A21" s="11">
        <v>46193.0</v>
      </c>
      <c r="B21" s="13" t="s">
        <v>16</v>
      </c>
      <c r="C21" s="13" t="s">
        <v>93</v>
      </c>
      <c r="D21" s="15">
        <v>39782.0</v>
      </c>
      <c r="E21" s="18">
        <v>39782.0</v>
      </c>
      <c r="F21" s="11">
        <v>46197.0</v>
      </c>
      <c r="G21" s="13" t="s">
        <v>13</v>
      </c>
      <c r="H21" s="13" t="s">
        <v>42</v>
      </c>
      <c r="L21" s="21"/>
    </row>
    <row r="22" hidden="1">
      <c r="A22" s="11">
        <v>46193.0</v>
      </c>
      <c r="B22" s="13" t="s">
        <v>94</v>
      </c>
      <c r="C22" s="13" t="s">
        <v>95</v>
      </c>
      <c r="D22" s="15">
        <v>48300.0</v>
      </c>
      <c r="E22" s="18">
        <v>48300.0</v>
      </c>
      <c r="F22" s="11">
        <v>46202.0</v>
      </c>
      <c r="G22" s="13" t="s">
        <v>96</v>
      </c>
      <c r="H22" s="13" t="s">
        <v>97</v>
      </c>
      <c r="I22" s="75" t="s">
        <v>98</v>
      </c>
      <c r="L22" s="21"/>
    </row>
    <row r="23" hidden="1">
      <c r="A23" s="77"/>
      <c r="B23" s="78"/>
      <c r="C23" s="80"/>
      <c r="D23" s="82"/>
      <c r="E23" s="83"/>
      <c r="F23" s="84"/>
      <c r="G23" s="80"/>
      <c r="H23" s="78"/>
      <c r="L23" s="21"/>
    </row>
    <row r="24">
      <c r="A24" s="11">
        <v>46194.0</v>
      </c>
      <c r="B24" s="13" t="s">
        <v>109</v>
      </c>
      <c r="C24" s="13" t="s">
        <v>110</v>
      </c>
      <c r="D24" s="15">
        <v>100.0</v>
      </c>
      <c r="E24" s="18">
        <v>100.0</v>
      </c>
      <c r="F24" s="11">
        <v>46194.0</v>
      </c>
      <c r="G24" s="13" t="s">
        <v>24</v>
      </c>
      <c r="H24" s="76" t="s">
        <v>17</v>
      </c>
      <c r="L24" s="21"/>
    </row>
    <row r="25">
      <c r="A25" s="11">
        <v>46194.0</v>
      </c>
      <c r="B25" s="13" t="s">
        <v>10</v>
      </c>
      <c r="C25" s="13" t="s">
        <v>114</v>
      </c>
      <c r="D25" s="15">
        <v>80.0</v>
      </c>
      <c r="E25" s="18">
        <v>80.0</v>
      </c>
      <c r="F25" s="11">
        <v>46194.0</v>
      </c>
      <c r="G25" s="13" t="s">
        <v>14</v>
      </c>
      <c r="H25" s="76" t="s">
        <v>17</v>
      </c>
      <c r="L25" s="21"/>
    </row>
    <row r="26">
      <c r="A26" s="11">
        <v>46194.0</v>
      </c>
      <c r="B26" s="13" t="s">
        <v>116</v>
      </c>
      <c r="C26" s="13" t="s">
        <v>117</v>
      </c>
      <c r="D26" s="15">
        <v>200.0</v>
      </c>
      <c r="E26" s="18">
        <v>200.0</v>
      </c>
      <c r="F26" s="11">
        <v>46194.0</v>
      </c>
      <c r="G26" s="13" t="s">
        <v>14</v>
      </c>
      <c r="H26" s="76" t="s">
        <v>17</v>
      </c>
      <c r="L26" s="21"/>
    </row>
    <row r="27" hidden="1">
      <c r="A27" s="86">
        <v>46194.0</v>
      </c>
      <c r="B27" s="88" t="s">
        <v>38</v>
      </c>
      <c r="C27" s="88" t="s">
        <v>102</v>
      </c>
      <c r="D27" s="90">
        <v>500.0</v>
      </c>
      <c r="E27" s="91">
        <v>500.0</v>
      </c>
      <c r="F27" s="86">
        <v>46195.0</v>
      </c>
      <c r="G27" s="88" t="s">
        <v>29</v>
      </c>
      <c r="H27" s="88" t="s">
        <v>79</v>
      </c>
      <c r="L27" s="21"/>
    </row>
    <row r="28">
      <c r="A28" s="93">
        <v>46195.0</v>
      </c>
      <c r="B28" s="95" t="s">
        <v>125</v>
      </c>
      <c r="C28" s="95" t="s">
        <v>128</v>
      </c>
      <c r="D28" s="96">
        <v>1300.0</v>
      </c>
      <c r="E28" s="16">
        <v>1300.0</v>
      </c>
      <c r="F28" s="98">
        <v>46195.0</v>
      </c>
      <c r="G28" s="95" t="s">
        <v>14</v>
      </c>
      <c r="H28" s="99" t="s">
        <v>17</v>
      </c>
      <c r="J28" s="103">
        <f>SUM(D24:D31)</f>
        <v>5610</v>
      </c>
      <c r="L28" s="65" t="s">
        <v>136</v>
      </c>
    </row>
    <row r="29">
      <c r="A29" s="40">
        <v>46195.0</v>
      </c>
      <c r="B29" s="13" t="s">
        <v>10</v>
      </c>
      <c r="C29" s="13" t="s">
        <v>138</v>
      </c>
      <c r="D29" s="108">
        <v>120.0</v>
      </c>
      <c r="E29" s="104">
        <v>120.0</v>
      </c>
      <c r="F29" s="109">
        <v>46195.0</v>
      </c>
      <c r="G29" s="13" t="s">
        <v>14</v>
      </c>
      <c r="H29" s="110" t="s">
        <v>17</v>
      </c>
      <c r="K29" s="112">
        <v>46194.0</v>
      </c>
      <c r="L29" s="115">
        <f>SUM(D24:D26)</f>
        <v>380</v>
      </c>
    </row>
    <row r="30" hidden="1">
      <c r="A30" s="47">
        <v>46195.0</v>
      </c>
      <c r="B30" s="65" t="s">
        <v>152</v>
      </c>
      <c r="C30" s="65" t="s">
        <v>153</v>
      </c>
      <c r="D30" s="68">
        <v>2310.0</v>
      </c>
      <c r="E30" s="18">
        <v>2310.0</v>
      </c>
      <c r="F30" s="11">
        <v>46195.0</v>
      </c>
      <c r="G30" s="13" t="s">
        <v>55</v>
      </c>
      <c r="H30" s="118" t="s">
        <v>75</v>
      </c>
      <c r="K30" s="119"/>
      <c r="L30" s="119"/>
    </row>
    <row r="31">
      <c r="A31" s="120">
        <v>46195.0</v>
      </c>
      <c r="B31" s="88" t="s">
        <v>38</v>
      </c>
      <c r="C31" s="88" t="s">
        <v>102</v>
      </c>
      <c r="D31" s="90">
        <v>1000.0</v>
      </c>
      <c r="E31" s="122">
        <v>1000.0</v>
      </c>
      <c r="F31" s="86">
        <v>46195.0</v>
      </c>
      <c r="G31" s="88" t="s">
        <v>14</v>
      </c>
      <c r="H31" s="123" t="s">
        <v>17</v>
      </c>
      <c r="K31" s="112">
        <v>46195.0</v>
      </c>
      <c r="L31" s="129">
        <f>1300+120+1000</f>
        <v>2420</v>
      </c>
    </row>
    <row r="32" hidden="1">
      <c r="A32" s="130">
        <v>46195.0</v>
      </c>
      <c r="B32" s="41" t="s">
        <v>170</v>
      </c>
      <c r="C32" s="41" t="s">
        <v>171</v>
      </c>
      <c r="D32" s="108">
        <v>19227.3</v>
      </c>
      <c r="E32" s="131">
        <v>19227.3</v>
      </c>
      <c r="F32" s="109">
        <v>46197.0</v>
      </c>
      <c r="G32" s="41" t="s">
        <v>173</v>
      </c>
      <c r="H32" s="41" t="s">
        <v>84</v>
      </c>
      <c r="K32" s="119"/>
      <c r="L32" s="119"/>
    </row>
    <row r="33" hidden="1">
      <c r="A33" s="86">
        <v>46195.0</v>
      </c>
      <c r="B33" s="132" t="s">
        <v>174</v>
      </c>
      <c r="C33" s="132" t="s">
        <v>176</v>
      </c>
      <c r="D33" s="133">
        <v>22000.0</v>
      </c>
      <c r="E33" s="91">
        <v>22000.0</v>
      </c>
      <c r="F33" s="86">
        <v>46203.0</v>
      </c>
      <c r="G33" s="88" t="s">
        <v>29</v>
      </c>
      <c r="H33" s="88" t="s">
        <v>84</v>
      </c>
      <c r="K33" s="119"/>
      <c r="L33" s="119"/>
    </row>
    <row r="34">
      <c r="A34" s="93">
        <v>46196.0</v>
      </c>
      <c r="B34" s="95" t="s">
        <v>10</v>
      </c>
      <c r="C34" s="95" t="s">
        <v>138</v>
      </c>
      <c r="D34" s="96">
        <v>120.0</v>
      </c>
      <c r="E34" s="16">
        <v>120.0</v>
      </c>
      <c r="F34" s="98">
        <v>46196.0</v>
      </c>
      <c r="G34" s="95" t="s">
        <v>14</v>
      </c>
      <c r="H34" s="99" t="s">
        <v>17</v>
      </c>
      <c r="K34" s="112">
        <v>46196.0</v>
      </c>
      <c r="L34" s="129">
        <f>120+500</f>
        <v>620</v>
      </c>
    </row>
    <row r="35" hidden="1">
      <c r="A35" s="47">
        <v>46196.0</v>
      </c>
      <c r="B35" s="13" t="s">
        <v>152</v>
      </c>
      <c r="C35" s="13" t="s">
        <v>192</v>
      </c>
      <c r="D35" s="15">
        <v>2310.0</v>
      </c>
      <c r="E35" s="18">
        <v>2310.0</v>
      </c>
      <c r="F35" s="11">
        <v>46195.0</v>
      </c>
      <c r="G35" s="13" t="s">
        <v>55</v>
      </c>
      <c r="H35" s="118" t="s">
        <v>75</v>
      </c>
      <c r="K35" s="119"/>
      <c r="L35" s="119"/>
    </row>
    <row r="36" hidden="1">
      <c r="A36" s="47">
        <v>46196.0</v>
      </c>
      <c r="B36" s="13" t="s">
        <v>196</v>
      </c>
      <c r="C36" s="13" t="s">
        <v>197</v>
      </c>
      <c r="D36" s="15">
        <v>13349.64</v>
      </c>
      <c r="E36" s="18">
        <v>13349.64</v>
      </c>
      <c r="F36" s="11">
        <v>46202.0</v>
      </c>
      <c r="G36" s="13" t="s">
        <v>29</v>
      </c>
      <c r="H36" s="118" t="s">
        <v>84</v>
      </c>
      <c r="K36" s="119"/>
      <c r="L36" s="119"/>
    </row>
    <row r="37">
      <c r="A37" s="135">
        <v>46196.0</v>
      </c>
      <c r="B37" s="88" t="s">
        <v>38</v>
      </c>
      <c r="C37" s="88" t="s">
        <v>102</v>
      </c>
      <c r="D37" s="90">
        <v>500.0</v>
      </c>
      <c r="E37" s="136">
        <v>500.0</v>
      </c>
      <c r="F37" s="86">
        <v>46197.0</v>
      </c>
      <c r="G37" s="88" t="s">
        <v>14</v>
      </c>
      <c r="H37" s="123" t="s">
        <v>17</v>
      </c>
      <c r="K37" s="112">
        <v>46197.0</v>
      </c>
      <c r="L37" s="129">
        <f>17700+120+1000+6604</f>
        <v>25424</v>
      </c>
    </row>
    <row r="38" hidden="1">
      <c r="A38" s="137"/>
      <c r="B38" s="132"/>
      <c r="C38" s="132"/>
      <c r="D38" s="133"/>
      <c r="E38" s="138"/>
      <c r="F38" s="137"/>
      <c r="G38" s="132"/>
      <c r="H38" s="132"/>
      <c r="K38" s="119"/>
      <c r="L38" s="119"/>
    </row>
    <row r="39" hidden="1">
      <c r="A39" s="139">
        <v>46197.0</v>
      </c>
      <c r="B39" s="41" t="s">
        <v>76</v>
      </c>
      <c r="C39" s="41" t="s">
        <v>76</v>
      </c>
      <c r="D39" s="108">
        <v>6120.0</v>
      </c>
      <c r="E39" s="104">
        <v>6120.0</v>
      </c>
      <c r="F39" s="109">
        <v>46202.0</v>
      </c>
      <c r="G39" s="41" t="s">
        <v>216</v>
      </c>
      <c r="H39" s="141" t="s">
        <v>42</v>
      </c>
      <c r="I39" s="75" t="s">
        <v>220</v>
      </c>
      <c r="K39" s="119"/>
      <c r="L39" s="119"/>
    </row>
    <row r="40" hidden="1">
      <c r="A40" s="142">
        <v>46197.0</v>
      </c>
      <c r="B40" s="13" t="s">
        <v>57</v>
      </c>
      <c r="C40" s="13" t="s">
        <v>224</v>
      </c>
      <c r="D40" s="15">
        <v>30900.0</v>
      </c>
      <c r="E40" s="70" t="s">
        <v>227</v>
      </c>
      <c r="F40" s="71">
        <v>46200.0</v>
      </c>
      <c r="G40" s="65" t="s">
        <v>61</v>
      </c>
      <c r="H40" s="143" t="s">
        <v>232</v>
      </c>
      <c r="K40" s="119"/>
      <c r="L40" s="119"/>
    </row>
    <row r="41" hidden="1">
      <c r="A41" s="142">
        <v>46197.0</v>
      </c>
      <c r="B41" s="13" t="s">
        <v>236</v>
      </c>
      <c r="C41" s="13" t="s">
        <v>237</v>
      </c>
      <c r="D41" s="144">
        <v>12612.82</v>
      </c>
      <c r="E41" s="146">
        <v>12613.0</v>
      </c>
      <c r="F41" s="147">
        <v>46197.0</v>
      </c>
      <c r="G41" s="148" t="s">
        <v>13</v>
      </c>
      <c r="H41" s="148" t="s">
        <v>241</v>
      </c>
      <c r="K41" s="119"/>
      <c r="L41" s="119"/>
    </row>
    <row r="42" hidden="1">
      <c r="A42" s="142">
        <v>46197.0</v>
      </c>
      <c r="B42" s="13" t="s">
        <v>94</v>
      </c>
      <c r="C42" s="13" t="s">
        <v>242</v>
      </c>
      <c r="D42" s="144">
        <v>22400.0</v>
      </c>
      <c r="E42" s="146">
        <v>22400.0</v>
      </c>
      <c r="F42" s="148">
        <v>22400.0</v>
      </c>
      <c r="G42" s="148" t="s">
        <v>96</v>
      </c>
      <c r="H42" s="148" t="s">
        <v>244</v>
      </c>
      <c r="I42" s="150"/>
      <c r="K42" s="119"/>
      <c r="L42" s="119"/>
    </row>
    <row r="43">
      <c r="A43" s="142">
        <v>46197.0</v>
      </c>
      <c r="B43" s="13" t="s">
        <v>16</v>
      </c>
      <c r="C43" s="13" t="s">
        <v>247</v>
      </c>
      <c r="D43" s="144">
        <v>17700.0</v>
      </c>
      <c r="E43" s="146">
        <v>17700.0</v>
      </c>
      <c r="F43" s="147">
        <v>46202.0</v>
      </c>
      <c r="G43" s="148" t="s">
        <v>14</v>
      </c>
      <c r="H43" s="76" t="s">
        <v>17</v>
      </c>
      <c r="K43" s="112">
        <v>46198.0</v>
      </c>
      <c r="L43" s="129">
        <f>160+129+16000+500</f>
        <v>16789</v>
      </c>
      <c r="N43" s="74">
        <f>SUM(E28:E31)</f>
        <v>4730</v>
      </c>
    </row>
    <row r="44" hidden="1">
      <c r="A44" s="142">
        <v>46197.0</v>
      </c>
      <c r="B44" s="13" t="s">
        <v>258</v>
      </c>
      <c r="C44" s="13" t="s">
        <v>259</v>
      </c>
      <c r="D44" s="144">
        <v>21320.0</v>
      </c>
      <c r="E44" s="146">
        <v>211320.0</v>
      </c>
      <c r="F44" s="147">
        <v>46202.0</v>
      </c>
      <c r="G44" s="148" t="s">
        <v>262</v>
      </c>
      <c r="H44" s="148" t="s">
        <v>262</v>
      </c>
      <c r="K44" s="119"/>
      <c r="L44" s="119"/>
    </row>
    <row r="45">
      <c r="A45" s="142">
        <v>46197.0</v>
      </c>
      <c r="B45" s="13" t="s">
        <v>10</v>
      </c>
      <c r="C45" s="13" t="s">
        <v>138</v>
      </c>
      <c r="D45" s="144">
        <v>120.0</v>
      </c>
      <c r="E45" s="146">
        <v>120.0</v>
      </c>
      <c r="F45" s="152">
        <v>46197.0</v>
      </c>
      <c r="G45" s="148" t="s">
        <v>14</v>
      </c>
      <c r="H45" s="76" t="s">
        <v>17</v>
      </c>
      <c r="K45" s="112">
        <v>46199.0</v>
      </c>
      <c r="L45" s="129">
        <f>160+236+36+458+10874</f>
        <v>11764</v>
      </c>
    </row>
    <row r="46">
      <c r="A46" s="142">
        <v>46197.0</v>
      </c>
      <c r="B46" s="13" t="s">
        <v>38</v>
      </c>
      <c r="C46" s="13" t="s">
        <v>102</v>
      </c>
      <c r="D46" s="15">
        <v>1000.0</v>
      </c>
      <c r="E46" s="104">
        <v>1000.0</v>
      </c>
      <c r="F46" s="102">
        <v>46197.0</v>
      </c>
      <c r="G46" s="41" t="s">
        <v>14</v>
      </c>
      <c r="H46" s="76" t="s">
        <v>17</v>
      </c>
      <c r="K46" s="112">
        <v>46200.0</v>
      </c>
      <c r="L46" s="157">
        <f>320+1300+1586+192+720+1150+1000</f>
        <v>6268</v>
      </c>
    </row>
    <row r="47">
      <c r="A47" s="142">
        <v>46197.0</v>
      </c>
      <c r="B47" s="13" t="s">
        <v>278</v>
      </c>
      <c r="C47" s="13" t="s">
        <v>280</v>
      </c>
      <c r="D47" s="15">
        <v>6604.0</v>
      </c>
      <c r="E47" s="18">
        <v>6604.0</v>
      </c>
      <c r="F47" s="11">
        <v>46197.0</v>
      </c>
      <c r="G47" s="13" t="s">
        <v>14</v>
      </c>
      <c r="H47" s="158" t="s">
        <v>17</v>
      </c>
      <c r="K47" s="112">
        <v>46201.0</v>
      </c>
      <c r="L47" s="157">
        <v>3805.0</v>
      </c>
    </row>
    <row r="48" hidden="1">
      <c r="A48" s="142">
        <v>46197.0</v>
      </c>
      <c r="B48" s="13" t="s">
        <v>285</v>
      </c>
      <c r="C48" s="13" t="s">
        <v>286</v>
      </c>
      <c r="D48" s="15">
        <v>930.0</v>
      </c>
      <c r="E48" s="18">
        <v>930.0</v>
      </c>
      <c r="F48" s="11">
        <v>46197.0</v>
      </c>
      <c r="G48" s="13" t="s">
        <v>55</v>
      </c>
      <c r="H48" s="141" t="s">
        <v>190</v>
      </c>
      <c r="K48" s="159">
        <v>2000.0</v>
      </c>
      <c r="L48" s="119"/>
    </row>
    <row r="49" hidden="1">
      <c r="A49" s="160">
        <v>46197.0</v>
      </c>
      <c r="B49" s="88" t="s">
        <v>294</v>
      </c>
      <c r="C49" s="88" t="s">
        <v>295</v>
      </c>
      <c r="D49" s="90">
        <v>1440.0</v>
      </c>
      <c r="E49" s="70">
        <v>1440.0</v>
      </c>
      <c r="F49" s="71">
        <v>46197.0</v>
      </c>
      <c r="G49" s="65" t="s">
        <v>13</v>
      </c>
      <c r="H49" s="143" t="s">
        <v>241</v>
      </c>
      <c r="K49" s="159">
        <v>900.0</v>
      </c>
      <c r="L49" s="119"/>
    </row>
    <row r="50">
      <c r="A50" s="20">
        <v>46198.0</v>
      </c>
      <c r="B50" s="41" t="s">
        <v>10</v>
      </c>
      <c r="C50" s="95" t="s">
        <v>302</v>
      </c>
      <c r="D50" s="26">
        <v>160.0</v>
      </c>
      <c r="E50" s="28">
        <v>160.0</v>
      </c>
      <c r="F50" s="29">
        <v>46198.0</v>
      </c>
      <c r="G50" s="95" t="s">
        <v>14</v>
      </c>
      <c r="H50" s="76" t="s">
        <v>17</v>
      </c>
      <c r="K50" s="112">
        <v>46202.0</v>
      </c>
      <c r="L50" s="157">
        <v>2305.0</v>
      </c>
    </row>
    <row r="51" hidden="1">
      <c r="A51" s="47">
        <v>46198.0</v>
      </c>
      <c r="B51" s="13" t="s">
        <v>308</v>
      </c>
      <c r="C51" s="13" t="s">
        <v>308</v>
      </c>
      <c r="D51" s="15">
        <v>1147.68</v>
      </c>
      <c r="E51" s="18">
        <v>1147.68</v>
      </c>
      <c r="F51" s="11">
        <v>46198.0</v>
      </c>
      <c r="G51" s="13" t="s">
        <v>66</v>
      </c>
      <c r="H51" s="118" t="s">
        <v>310</v>
      </c>
      <c r="K51" s="159">
        <v>520.0</v>
      </c>
      <c r="L51" s="119"/>
    </row>
    <row r="52" hidden="1">
      <c r="A52" s="47">
        <v>46198.0</v>
      </c>
      <c r="B52" s="13" t="s">
        <v>311</v>
      </c>
      <c r="C52" s="13" t="s">
        <v>312</v>
      </c>
      <c r="D52" s="15">
        <v>18000.0</v>
      </c>
      <c r="E52" s="18">
        <v>18000.0</v>
      </c>
      <c r="F52" s="11">
        <v>46198.0</v>
      </c>
      <c r="G52" s="13" t="s">
        <v>13</v>
      </c>
      <c r="H52" s="118" t="s">
        <v>42</v>
      </c>
      <c r="K52" s="159">
        <v>85.0</v>
      </c>
      <c r="L52" s="119"/>
    </row>
    <row r="53" hidden="1">
      <c r="A53" s="47">
        <v>46198.0</v>
      </c>
      <c r="B53" s="13" t="s">
        <v>313</v>
      </c>
      <c r="C53" s="13" t="s">
        <v>314</v>
      </c>
      <c r="D53" s="15">
        <v>3100.0</v>
      </c>
      <c r="E53" s="18">
        <v>3100.0</v>
      </c>
      <c r="F53" s="11">
        <v>46198.0</v>
      </c>
      <c r="G53" s="13" t="s">
        <v>13</v>
      </c>
      <c r="H53" s="118" t="s">
        <v>241</v>
      </c>
      <c r="K53" s="119"/>
      <c r="L53" s="119"/>
    </row>
    <row r="54">
      <c r="A54" s="47">
        <v>46198.0</v>
      </c>
      <c r="B54" s="13" t="s">
        <v>316</v>
      </c>
      <c r="C54" s="13" t="s">
        <v>317</v>
      </c>
      <c r="D54" s="15">
        <v>129.0</v>
      </c>
      <c r="E54" s="18">
        <v>129.0</v>
      </c>
      <c r="F54" s="11">
        <v>46198.0</v>
      </c>
      <c r="G54" s="13" t="s">
        <v>14</v>
      </c>
      <c r="H54" s="76" t="s">
        <v>17</v>
      </c>
      <c r="K54" s="112">
        <v>46203.0</v>
      </c>
      <c r="L54" s="157">
        <v>3500.0</v>
      </c>
    </row>
    <row r="55">
      <c r="A55" s="47">
        <v>46198.0</v>
      </c>
      <c r="B55" s="13" t="s">
        <v>320</v>
      </c>
      <c r="C55" s="13" t="s">
        <v>321</v>
      </c>
      <c r="D55" s="15">
        <v>16000.0</v>
      </c>
      <c r="E55" s="18">
        <v>16000.0</v>
      </c>
      <c r="F55" s="11">
        <v>46198.0</v>
      </c>
      <c r="G55" s="13" t="s">
        <v>14</v>
      </c>
      <c r="H55" s="76" t="s">
        <v>17</v>
      </c>
      <c r="K55" s="129"/>
      <c r="L55" s="115">
        <f>SUM(L29:L54)</f>
        <v>73275</v>
      </c>
    </row>
    <row r="56" hidden="1">
      <c r="A56" s="164">
        <v>46198.0</v>
      </c>
      <c r="B56" s="65" t="s">
        <v>331</v>
      </c>
      <c r="C56" s="65" t="s">
        <v>332</v>
      </c>
      <c r="D56" s="68">
        <v>11309.0</v>
      </c>
      <c r="E56" s="70">
        <v>11309.0</v>
      </c>
      <c r="F56" s="71">
        <v>46198.0</v>
      </c>
      <c r="G56" s="65" t="s">
        <v>96</v>
      </c>
      <c r="H56" s="165" t="s">
        <v>335</v>
      </c>
      <c r="K56" s="39">
        <f>SUM(K48:K54)</f>
        <v>95910</v>
      </c>
    </row>
    <row r="57" hidden="1">
      <c r="A57" s="11">
        <v>46198.0</v>
      </c>
      <c r="B57" s="167">
        <v>46333.0</v>
      </c>
      <c r="C57" s="13" t="s">
        <v>332</v>
      </c>
      <c r="D57" s="15">
        <v>567.0</v>
      </c>
      <c r="E57" s="18">
        <v>567.0</v>
      </c>
      <c r="F57" s="11">
        <v>46198.0</v>
      </c>
      <c r="G57" s="13" t="s">
        <v>96</v>
      </c>
      <c r="H57" s="13" t="s">
        <v>339</v>
      </c>
    </row>
    <row r="58" hidden="1">
      <c r="A58" s="11">
        <v>46198.0</v>
      </c>
      <c r="B58" s="13" t="s">
        <v>342</v>
      </c>
      <c r="C58" s="13" t="s">
        <v>343</v>
      </c>
      <c r="D58" s="15">
        <v>8728.0</v>
      </c>
      <c r="E58" s="18">
        <v>8728.0</v>
      </c>
      <c r="F58" s="11">
        <v>46202.0</v>
      </c>
      <c r="G58" s="13" t="s">
        <v>29</v>
      </c>
      <c r="H58" s="13" t="s">
        <v>42</v>
      </c>
    </row>
    <row r="59" hidden="1">
      <c r="A59" s="11">
        <v>46198.0</v>
      </c>
      <c r="B59" s="13" t="s">
        <v>236</v>
      </c>
      <c r="C59" s="13" t="s">
        <v>345</v>
      </c>
      <c r="D59" s="15">
        <v>825.0</v>
      </c>
      <c r="E59" s="18">
        <v>825.0</v>
      </c>
      <c r="F59" s="11">
        <v>46197.0</v>
      </c>
      <c r="G59" s="13" t="s">
        <v>13</v>
      </c>
      <c r="H59" s="169" t="s">
        <v>241</v>
      </c>
    </row>
    <row r="60" hidden="1">
      <c r="A60" s="11">
        <v>46198.0</v>
      </c>
      <c r="B60" s="13" t="s">
        <v>349</v>
      </c>
      <c r="C60" s="13" t="s">
        <v>350</v>
      </c>
      <c r="D60" s="15">
        <v>7000.0</v>
      </c>
      <c r="E60" s="18">
        <v>7000.0</v>
      </c>
      <c r="F60" s="11">
        <v>46198.0</v>
      </c>
      <c r="G60" s="13" t="s">
        <v>14</v>
      </c>
      <c r="H60" s="13" t="s">
        <v>351</v>
      </c>
    </row>
    <row r="61">
      <c r="A61" s="11">
        <v>46198.0</v>
      </c>
      <c r="B61" s="13" t="s">
        <v>38</v>
      </c>
      <c r="C61" s="13" t="s">
        <v>102</v>
      </c>
      <c r="D61" s="15">
        <v>500.0</v>
      </c>
      <c r="E61" s="18">
        <v>500.0</v>
      </c>
      <c r="F61" s="11">
        <v>46198.0</v>
      </c>
      <c r="G61" s="13" t="s">
        <v>14</v>
      </c>
      <c r="H61" s="158" t="s">
        <v>17</v>
      </c>
    </row>
    <row r="62" hidden="1">
      <c r="A62" s="170">
        <v>46198.0</v>
      </c>
      <c r="B62" s="171" t="s">
        <v>352</v>
      </c>
      <c r="C62" s="171" t="s">
        <v>352</v>
      </c>
      <c r="D62" s="172">
        <v>11425.0</v>
      </c>
      <c r="E62" s="136">
        <v>11425.0</v>
      </c>
      <c r="F62" s="170">
        <v>46198.0</v>
      </c>
      <c r="G62" s="171" t="s">
        <v>173</v>
      </c>
      <c r="H62" s="171" t="s">
        <v>42</v>
      </c>
    </row>
    <row r="63">
      <c r="A63" s="93">
        <v>46199.0</v>
      </c>
      <c r="B63" s="13" t="s">
        <v>10</v>
      </c>
      <c r="C63" s="95" t="s">
        <v>302</v>
      </c>
      <c r="D63" s="96">
        <v>160.0</v>
      </c>
      <c r="E63" s="16">
        <v>160.0</v>
      </c>
      <c r="F63" s="98">
        <v>46199.0</v>
      </c>
      <c r="G63" s="95" t="s">
        <v>14</v>
      </c>
      <c r="H63" s="76" t="s">
        <v>17</v>
      </c>
      <c r="I63" s="7">
        <v>160.0</v>
      </c>
    </row>
    <row r="64">
      <c r="A64" s="47">
        <v>46199.0</v>
      </c>
      <c r="B64" s="13" t="s">
        <v>316</v>
      </c>
      <c r="C64" s="13" t="s">
        <v>355</v>
      </c>
      <c r="D64" s="15">
        <v>236.0</v>
      </c>
      <c r="E64" s="18">
        <v>236.0</v>
      </c>
      <c r="F64" s="11">
        <v>46199.0</v>
      </c>
      <c r="G64" s="13" t="s">
        <v>14</v>
      </c>
      <c r="H64" s="76" t="s">
        <v>17</v>
      </c>
      <c r="I64" s="7">
        <v>236.0</v>
      </c>
    </row>
    <row r="65">
      <c r="A65" s="47">
        <v>46199.0</v>
      </c>
      <c r="B65" s="13" t="s">
        <v>357</v>
      </c>
      <c r="C65" s="13" t="s">
        <v>358</v>
      </c>
      <c r="D65" s="15">
        <v>36.0</v>
      </c>
      <c r="E65" s="18">
        <v>36.0</v>
      </c>
      <c r="F65" s="11">
        <v>46199.0</v>
      </c>
      <c r="G65" s="13" t="s">
        <v>14</v>
      </c>
      <c r="H65" s="76" t="s">
        <v>17</v>
      </c>
      <c r="I65" s="7">
        <v>36.0</v>
      </c>
    </row>
    <row r="66" hidden="1">
      <c r="A66" s="47">
        <v>46199.0</v>
      </c>
      <c r="B66" s="13" t="s">
        <v>360</v>
      </c>
      <c r="C66" s="13" t="s">
        <v>361</v>
      </c>
      <c r="D66" s="15">
        <v>3500.0</v>
      </c>
      <c r="E66" s="18">
        <v>3500.0</v>
      </c>
      <c r="F66" s="11">
        <v>46199.0</v>
      </c>
      <c r="G66" s="13" t="s">
        <v>13</v>
      </c>
      <c r="H66" s="118" t="s">
        <v>241</v>
      </c>
    </row>
    <row r="67" hidden="1">
      <c r="A67" s="47">
        <v>46199.0</v>
      </c>
      <c r="B67" s="13" t="s">
        <v>360</v>
      </c>
      <c r="C67" s="13" t="s">
        <v>363</v>
      </c>
      <c r="D67" s="15">
        <v>100000.0</v>
      </c>
      <c r="E67" s="18">
        <v>100000.0</v>
      </c>
      <c r="F67" s="11">
        <v>46199.0</v>
      </c>
      <c r="G67" s="13" t="s">
        <v>96</v>
      </c>
      <c r="H67" s="174" t="s">
        <v>367</v>
      </c>
    </row>
    <row r="68" hidden="1">
      <c r="A68" s="47">
        <v>46199.0</v>
      </c>
      <c r="B68" s="13" t="s">
        <v>368</v>
      </c>
      <c r="C68" s="13" t="s">
        <v>369</v>
      </c>
      <c r="D68" s="15">
        <v>5900.0</v>
      </c>
      <c r="E68" s="18">
        <v>5900.0</v>
      </c>
      <c r="F68" s="11">
        <v>46199.0</v>
      </c>
      <c r="G68" s="13" t="s">
        <v>13</v>
      </c>
      <c r="H68" s="118" t="s">
        <v>37</v>
      </c>
    </row>
    <row r="69" hidden="1">
      <c r="A69" s="47">
        <v>46199.0</v>
      </c>
      <c r="B69" s="13" t="s">
        <v>371</v>
      </c>
      <c r="C69" s="13" t="s">
        <v>372</v>
      </c>
      <c r="D69" s="15">
        <v>5744.0</v>
      </c>
      <c r="E69" s="18">
        <v>5744.0</v>
      </c>
      <c r="F69" s="11">
        <v>46199.0</v>
      </c>
      <c r="G69" s="13" t="s">
        <v>373</v>
      </c>
      <c r="H69" s="118" t="s">
        <v>375</v>
      </c>
    </row>
    <row r="70">
      <c r="A70" s="47">
        <v>46199.0</v>
      </c>
      <c r="B70" s="13" t="s">
        <v>376</v>
      </c>
      <c r="C70" s="13" t="s">
        <v>377</v>
      </c>
      <c r="D70" s="15">
        <v>458.0</v>
      </c>
      <c r="E70" s="18">
        <v>458.0</v>
      </c>
      <c r="F70" s="11">
        <v>46199.0</v>
      </c>
      <c r="G70" s="13" t="s">
        <v>14</v>
      </c>
      <c r="H70" s="76" t="s">
        <v>17</v>
      </c>
      <c r="I70" s="7">
        <v>458.0</v>
      </c>
    </row>
    <row r="71" hidden="1">
      <c r="A71" s="47">
        <v>46199.0</v>
      </c>
      <c r="B71" s="13" t="s">
        <v>381</v>
      </c>
      <c r="C71" s="13" t="s">
        <v>382</v>
      </c>
      <c r="D71" s="15">
        <v>2123.75</v>
      </c>
      <c r="E71" s="18">
        <v>2123.75</v>
      </c>
      <c r="F71" s="11">
        <v>46201.0</v>
      </c>
      <c r="G71" s="13" t="s">
        <v>13</v>
      </c>
      <c r="H71" s="118" t="s">
        <v>42</v>
      </c>
      <c r="I71" s="39">
        <f>SUM(I63:I70)</f>
        <v>890</v>
      </c>
    </row>
    <row r="72" hidden="1">
      <c r="A72" s="47">
        <v>46199.0</v>
      </c>
      <c r="B72" s="13" t="s">
        <v>385</v>
      </c>
      <c r="C72" s="13" t="s">
        <v>387</v>
      </c>
      <c r="D72" s="15">
        <v>3954.0</v>
      </c>
      <c r="E72" s="18">
        <v>3954.0</v>
      </c>
      <c r="F72" s="11">
        <v>46199.0</v>
      </c>
      <c r="G72" s="13" t="s">
        <v>13</v>
      </c>
      <c r="H72" s="118" t="s">
        <v>389</v>
      </c>
    </row>
    <row r="73">
      <c r="A73" s="47">
        <v>46199.0</v>
      </c>
      <c r="B73" s="13" t="s">
        <v>16</v>
      </c>
      <c r="C73" s="13" t="s">
        <v>390</v>
      </c>
      <c r="D73" s="15">
        <v>10874.0</v>
      </c>
      <c r="E73" s="18">
        <v>10874.0</v>
      </c>
      <c r="F73" s="11">
        <v>46202.0</v>
      </c>
      <c r="G73" s="13" t="s">
        <v>96</v>
      </c>
      <c r="H73" s="76" t="s">
        <v>17</v>
      </c>
      <c r="L73" s="103">
        <f>SUM(D43:D47)</f>
        <v>46744</v>
      </c>
    </row>
    <row r="74" hidden="1">
      <c r="A74" s="47">
        <v>46199.0</v>
      </c>
      <c r="B74" s="21"/>
      <c r="C74" s="13" t="s">
        <v>395</v>
      </c>
      <c r="D74" s="15">
        <v>2980.0</v>
      </c>
      <c r="E74" s="18">
        <v>2980.0</v>
      </c>
      <c r="F74" s="11">
        <v>46202.0</v>
      </c>
      <c r="G74" s="13" t="s">
        <v>397</v>
      </c>
      <c r="H74" s="38"/>
    </row>
    <row r="75" hidden="1">
      <c r="A75" s="177"/>
      <c r="B75" s="65" t="s">
        <v>398</v>
      </c>
      <c r="C75" s="97"/>
      <c r="D75" s="68">
        <v>10700.0</v>
      </c>
      <c r="E75" s="70">
        <v>10700.0</v>
      </c>
      <c r="F75" s="71">
        <v>46200.0</v>
      </c>
      <c r="G75" s="65" t="s">
        <v>399</v>
      </c>
      <c r="H75" s="165" t="s">
        <v>399</v>
      </c>
    </row>
    <row r="76">
      <c r="A76" s="20">
        <v>46200.0</v>
      </c>
      <c r="B76" s="13" t="s">
        <v>10</v>
      </c>
      <c r="C76" s="24" t="s">
        <v>403</v>
      </c>
      <c r="D76" s="26">
        <v>320.0</v>
      </c>
      <c r="E76" s="28">
        <v>320.0</v>
      </c>
      <c r="F76" s="29">
        <v>46200.0</v>
      </c>
      <c r="G76" s="24" t="s">
        <v>14</v>
      </c>
      <c r="H76" s="76" t="s">
        <v>17</v>
      </c>
    </row>
    <row r="77">
      <c r="A77" s="40">
        <v>46200.0</v>
      </c>
      <c r="B77" s="107"/>
      <c r="C77" s="41" t="s">
        <v>407</v>
      </c>
      <c r="D77" s="108">
        <v>1300.0</v>
      </c>
      <c r="E77" s="104">
        <v>1300.0</v>
      </c>
      <c r="F77" s="109">
        <v>46200.0</v>
      </c>
      <c r="G77" s="41" t="s">
        <v>14</v>
      </c>
      <c r="H77" s="76" t="s">
        <v>17</v>
      </c>
    </row>
    <row r="78">
      <c r="A78" s="47">
        <v>46200.0</v>
      </c>
      <c r="B78" s="21"/>
      <c r="C78" s="13" t="s">
        <v>411</v>
      </c>
      <c r="D78" s="15">
        <v>1586.0</v>
      </c>
      <c r="E78" s="18">
        <v>1586.0</v>
      </c>
      <c r="F78" s="109">
        <v>46200.0</v>
      </c>
      <c r="G78" s="13" t="s">
        <v>14</v>
      </c>
      <c r="H78" s="76" t="s">
        <v>17</v>
      </c>
    </row>
    <row r="79">
      <c r="A79" s="47">
        <v>46200.0</v>
      </c>
      <c r="B79" s="21"/>
      <c r="C79" s="13" t="s">
        <v>413</v>
      </c>
      <c r="D79" s="15">
        <v>192.0</v>
      </c>
      <c r="E79" s="18">
        <v>192.0</v>
      </c>
      <c r="F79" s="109">
        <v>46200.0</v>
      </c>
      <c r="G79" s="13" t="s">
        <v>14</v>
      </c>
      <c r="H79" s="76" t="s">
        <v>17</v>
      </c>
    </row>
    <row r="80">
      <c r="A80" s="47">
        <v>46200.0</v>
      </c>
      <c r="B80" s="13" t="s">
        <v>416</v>
      </c>
      <c r="C80" s="13" t="s">
        <v>417</v>
      </c>
      <c r="D80" s="15">
        <v>720.0</v>
      </c>
      <c r="E80" s="18">
        <v>720.0</v>
      </c>
      <c r="F80" s="109">
        <v>46200.0</v>
      </c>
      <c r="G80" s="13" t="s">
        <v>14</v>
      </c>
      <c r="H80" s="76" t="s">
        <v>17</v>
      </c>
    </row>
    <row r="81">
      <c r="A81" s="47">
        <v>46200.0</v>
      </c>
      <c r="B81" s="13" t="s">
        <v>418</v>
      </c>
      <c r="C81" s="13" t="s">
        <v>419</v>
      </c>
      <c r="D81" s="15">
        <v>1150.0</v>
      </c>
      <c r="E81" s="18">
        <v>1150.0</v>
      </c>
      <c r="F81" s="109">
        <v>46200.0</v>
      </c>
      <c r="G81" s="13" t="s">
        <v>14</v>
      </c>
      <c r="H81" s="76" t="s">
        <v>17</v>
      </c>
    </row>
    <row r="82">
      <c r="A82" s="47">
        <v>46200.0</v>
      </c>
      <c r="B82" s="13" t="s">
        <v>38</v>
      </c>
      <c r="C82" s="13" t="s">
        <v>102</v>
      </c>
      <c r="D82" s="15">
        <v>1000.0</v>
      </c>
      <c r="E82" s="18">
        <v>1000.0</v>
      </c>
      <c r="F82" s="109">
        <v>46200.0</v>
      </c>
      <c r="G82" s="13" t="s">
        <v>14</v>
      </c>
      <c r="H82" s="76" t="s">
        <v>17</v>
      </c>
    </row>
    <row r="83" hidden="1">
      <c r="A83" s="47">
        <v>46200.0</v>
      </c>
      <c r="B83" s="13" t="s">
        <v>420</v>
      </c>
      <c r="C83" s="13" t="s">
        <v>421</v>
      </c>
      <c r="D83" s="15">
        <v>2400.0</v>
      </c>
      <c r="E83" s="18">
        <v>2400.0</v>
      </c>
      <c r="F83" s="44">
        <v>46199.0</v>
      </c>
      <c r="G83" s="13" t="s">
        <v>13</v>
      </c>
      <c r="H83" s="118" t="s">
        <v>241</v>
      </c>
    </row>
    <row r="84" hidden="1">
      <c r="A84" s="47">
        <v>46200.0</v>
      </c>
      <c r="B84" s="13"/>
      <c r="C84" s="13" t="s">
        <v>248</v>
      </c>
      <c r="D84" s="15">
        <v>660.0</v>
      </c>
      <c r="E84" s="18">
        <v>660.0</v>
      </c>
      <c r="F84" s="44">
        <v>46200.0</v>
      </c>
      <c r="G84" s="13" t="s">
        <v>373</v>
      </c>
      <c r="H84" s="118" t="s">
        <v>423</v>
      </c>
    </row>
    <row r="85" hidden="1">
      <c r="A85" s="47">
        <v>46200.0</v>
      </c>
      <c r="B85" s="13" t="s">
        <v>399</v>
      </c>
      <c r="C85" s="13" t="s">
        <v>424</v>
      </c>
      <c r="D85" s="15">
        <v>14974.0</v>
      </c>
      <c r="E85" s="18">
        <v>14974.0</v>
      </c>
      <c r="F85" s="44">
        <v>46200.0</v>
      </c>
      <c r="G85" s="13" t="s">
        <v>55</v>
      </c>
      <c r="H85" s="118" t="s">
        <v>42</v>
      </c>
    </row>
    <row r="86" hidden="1">
      <c r="A86" s="47">
        <v>46200.0</v>
      </c>
      <c r="B86" s="13"/>
      <c r="C86" s="13" t="s">
        <v>425</v>
      </c>
      <c r="D86" s="15">
        <v>9895.0</v>
      </c>
      <c r="E86" s="18">
        <v>9895.0</v>
      </c>
      <c r="F86" s="44">
        <v>46200.0</v>
      </c>
      <c r="G86" s="13" t="s">
        <v>397</v>
      </c>
      <c r="H86" s="118" t="s">
        <v>397</v>
      </c>
    </row>
    <row r="87" hidden="1">
      <c r="A87" s="47">
        <v>46200.0</v>
      </c>
      <c r="B87" s="13" t="s">
        <v>94</v>
      </c>
      <c r="C87" s="13" t="s">
        <v>428</v>
      </c>
      <c r="D87" s="15">
        <v>28700.0</v>
      </c>
      <c r="E87" s="18">
        <v>28700.0</v>
      </c>
      <c r="F87" s="11">
        <v>46208.0</v>
      </c>
      <c r="G87" s="13" t="s">
        <v>55</v>
      </c>
      <c r="H87" s="118" t="s">
        <v>37</v>
      </c>
    </row>
    <row r="88" hidden="1">
      <c r="A88" s="47">
        <v>46200.0</v>
      </c>
      <c r="B88" s="13" t="s">
        <v>57</v>
      </c>
      <c r="C88" s="13" t="s">
        <v>429</v>
      </c>
      <c r="D88" s="15">
        <v>39190.0</v>
      </c>
      <c r="E88" s="18">
        <v>39190.0</v>
      </c>
      <c r="F88" s="11">
        <v>46208.0</v>
      </c>
      <c r="G88" s="13" t="s">
        <v>430</v>
      </c>
      <c r="H88" s="118" t="s">
        <v>431</v>
      </c>
    </row>
    <row r="89" hidden="1">
      <c r="A89" s="135"/>
      <c r="B89" s="57"/>
      <c r="C89" s="57"/>
      <c r="D89" s="180"/>
      <c r="E89" s="60"/>
      <c r="F89" s="181"/>
      <c r="G89" s="57"/>
      <c r="H89" s="64"/>
    </row>
    <row r="90">
      <c r="A90" s="93">
        <v>46201.0</v>
      </c>
      <c r="B90" s="41" t="s">
        <v>10</v>
      </c>
      <c r="C90" s="95" t="s">
        <v>432</v>
      </c>
      <c r="D90" s="96">
        <v>240.0</v>
      </c>
      <c r="E90" s="16">
        <v>240.0</v>
      </c>
      <c r="F90" s="98">
        <v>46201.0</v>
      </c>
      <c r="G90" s="95" t="s">
        <v>14</v>
      </c>
      <c r="H90" s="76" t="s">
        <v>17</v>
      </c>
      <c r="I90" s="103">
        <f>SUM(D102:D105)</f>
        <v>2305</v>
      </c>
    </row>
    <row r="91">
      <c r="A91" s="47">
        <v>46201.0</v>
      </c>
      <c r="B91" s="13" t="s">
        <v>38</v>
      </c>
      <c r="C91" s="13" t="s">
        <v>438</v>
      </c>
      <c r="D91" s="15">
        <v>1000.0</v>
      </c>
      <c r="E91" s="18">
        <v>1000.0</v>
      </c>
      <c r="F91" s="11">
        <v>46201.0</v>
      </c>
      <c r="G91" s="13" t="s">
        <v>14</v>
      </c>
      <c r="H91" s="76" t="s">
        <v>17</v>
      </c>
      <c r="M91" s="74">
        <f>SUM(E24:E112)</f>
        <v>805522.37</v>
      </c>
    </row>
    <row r="92">
      <c r="A92" s="47">
        <v>46201.0</v>
      </c>
      <c r="B92" s="13" t="s">
        <v>38</v>
      </c>
      <c r="C92" s="13" t="s">
        <v>443</v>
      </c>
      <c r="D92" s="15">
        <v>1000.0</v>
      </c>
      <c r="E92" s="18">
        <v>1000.0</v>
      </c>
      <c r="F92" s="11">
        <v>46201.0</v>
      </c>
      <c r="G92" s="13" t="s">
        <v>14</v>
      </c>
      <c r="H92" s="76" t="s">
        <v>17</v>
      </c>
    </row>
    <row r="93">
      <c r="A93" s="185">
        <v>46201.0</v>
      </c>
      <c r="B93" s="186"/>
      <c r="C93" s="187" t="s">
        <v>445</v>
      </c>
      <c r="D93" s="188">
        <v>700.0</v>
      </c>
      <c r="E93" s="190">
        <v>700.0</v>
      </c>
      <c r="F93" s="191">
        <v>46201.0</v>
      </c>
      <c r="G93" s="187" t="s">
        <v>14</v>
      </c>
      <c r="H93" s="76" t="s">
        <v>17</v>
      </c>
    </row>
    <row r="94">
      <c r="A94" s="47">
        <v>46201.0</v>
      </c>
      <c r="B94" s="13" t="s">
        <v>454</v>
      </c>
      <c r="C94" s="13" t="s">
        <v>455</v>
      </c>
      <c r="D94" s="15">
        <v>80.0</v>
      </c>
      <c r="E94" s="18">
        <v>80.0</v>
      </c>
      <c r="F94" s="11">
        <v>46201.0</v>
      </c>
      <c r="G94" s="13" t="s">
        <v>14</v>
      </c>
      <c r="H94" s="76" t="s">
        <v>17</v>
      </c>
    </row>
    <row r="95">
      <c r="A95" s="47">
        <v>46201.0</v>
      </c>
      <c r="B95" s="13" t="s">
        <v>458</v>
      </c>
      <c r="C95" s="13" t="s">
        <v>459</v>
      </c>
      <c r="D95" s="15">
        <v>135.0</v>
      </c>
      <c r="E95" s="18">
        <v>135.0</v>
      </c>
      <c r="F95" s="11">
        <v>46201.0</v>
      </c>
      <c r="G95" s="13" t="s">
        <v>14</v>
      </c>
      <c r="H95" s="76" t="s">
        <v>17</v>
      </c>
    </row>
    <row r="96">
      <c r="A96" s="47">
        <v>46201.0</v>
      </c>
      <c r="B96" s="21"/>
      <c r="C96" s="13" t="s">
        <v>462</v>
      </c>
      <c r="D96" s="15">
        <v>130.0</v>
      </c>
      <c r="E96" s="18">
        <v>130.0</v>
      </c>
      <c r="F96" s="11">
        <v>46201.0</v>
      </c>
      <c r="G96" s="13" t="s">
        <v>14</v>
      </c>
      <c r="H96" s="76" t="s">
        <v>17</v>
      </c>
    </row>
    <row r="97">
      <c r="A97" s="47">
        <v>46201.0</v>
      </c>
      <c r="B97" s="21"/>
      <c r="C97" s="13" t="s">
        <v>54</v>
      </c>
      <c r="D97" s="15">
        <v>100.0</v>
      </c>
      <c r="E97" s="18">
        <v>100.0</v>
      </c>
      <c r="F97" s="11">
        <v>46201.0</v>
      </c>
      <c r="G97" s="13" t="s">
        <v>14</v>
      </c>
      <c r="H97" s="76" t="s">
        <v>17</v>
      </c>
      <c r="M97" s="103">
        <f>SUM(D24:D112)</f>
        <v>646422.19</v>
      </c>
    </row>
    <row r="98">
      <c r="A98" s="47">
        <v>46201.0</v>
      </c>
      <c r="B98" s="13" t="s">
        <v>468</v>
      </c>
      <c r="C98" s="13" t="s">
        <v>469</v>
      </c>
      <c r="D98" s="15">
        <v>420.0</v>
      </c>
      <c r="E98" s="18">
        <v>420.0</v>
      </c>
      <c r="F98" s="11">
        <v>46201.0</v>
      </c>
      <c r="G98" s="13" t="s">
        <v>14</v>
      </c>
      <c r="H98" s="76" t="s">
        <v>17</v>
      </c>
      <c r="J98" s="103">
        <f>SUM(D24:D112)</f>
        <v>646422.19</v>
      </c>
    </row>
    <row r="99" hidden="1">
      <c r="A99" s="164">
        <v>46201.0</v>
      </c>
      <c r="B99" s="65" t="s">
        <v>401</v>
      </c>
      <c r="C99" s="65" t="s">
        <v>470</v>
      </c>
      <c r="D99" s="68">
        <v>52370.0</v>
      </c>
      <c r="E99" s="70">
        <v>52370.0</v>
      </c>
      <c r="F99" s="11">
        <v>46201.0</v>
      </c>
      <c r="G99" s="65" t="s">
        <v>55</v>
      </c>
      <c r="H99" s="165" t="s">
        <v>37</v>
      </c>
    </row>
    <row r="100" hidden="1">
      <c r="A100" s="135">
        <v>46201.0</v>
      </c>
      <c r="B100" s="88" t="s">
        <v>68</v>
      </c>
      <c r="C100" s="88" t="s">
        <v>472</v>
      </c>
      <c r="D100" s="90">
        <v>2770.0</v>
      </c>
      <c r="E100" s="91">
        <v>2770.0</v>
      </c>
      <c r="F100" s="86">
        <v>46201.0</v>
      </c>
      <c r="G100" s="88" t="s">
        <v>55</v>
      </c>
      <c r="H100" s="193" t="s">
        <v>42</v>
      </c>
    </row>
    <row r="101" hidden="1">
      <c r="A101" s="66"/>
      <c r="B101" s="194"/>
      <c r="C101" s="194"/>
      <c r="D101" s="195"/>
      <c r="E101" s="196"/>
      <c r="F101" s="197"/>
      <c r="G101" s="194"/>
      <c r="H101" s="198"/>
    </row>
    <row r="102">
      <c r="A102" s="93">
        <v>46202.0</v>
      </c>
      <c r="B102" s="95" t="s">
        <v>10</v>
      </c>
      <c r="C102" s="95" t="s">
        <v>115</v>
      </c>
      <c r="D102" s="96">
        <v>200.0</v>
      </c>
      <c r="E102" s="200">
        <v>200.0</v>
      </c>
      <c r="F102" s="202">
        <v>46202.0</v>
      </c>
      <c r="G102" s="41" t="s">
        <v>14</v>
      </c>
      <c r="H102" s="76" t="s">
        <v>17</v>
      </c>
    </row>
    <row r="103">
      <c r="A103" s="47">
        <v>46202.0</v>
      </c>
      <c r="B103" s="13" t="s">
        <v>334</v>
      </c>
      <c r="C103" s="13" t="s">
        <v>488</v>
      </c>
      <c r="D103" s="15">
        <v>105.0</v>
      </c>
      <c r="E103" s="205">
        <v>105.0</v>
      </c>
      <c r="F103" s="207">
        <v>46202.0</v>
      </c>
      <c r="G103" s="13" t="s">
        <v>14</v>
      </c>
      <c r="H103" s="76" t="s">
        <v>17</v>
      </c>
    </row>
    <row r="104">
      <c r="A104" s="47">
        <v>46202.0</v>
      </c>
      <c r="B104" s="13" t="s">
        <v>38</v>
      </c>
      <c r="C104" s="13" t="s">
        <v>102</v>
      </c>
      <c r="D104" s="15">
        <v>1000.0</v>
      </c>
      <c r="E104" s="205">
        <v>1000.0</v>
      </c>
      <c r="F104" s="207">
        <v>46202.0</v>
      </c>
      <c r="G104" s="13" t="s">
        <v>14</v>
      </c>
      <c r="H104" s="76" t="s">
        <v>17</v>
      </c>
      <c r="J104" s="39">
        <f>SUM(D109:D112)</f>
        <v>3500</v>
      </c>
    </row>
    <row r="105">
      <c r="A105" s="135">
        <v>46202.0</v>
      </c>
      <c r="B105" s="88" t="s">
        <v>38</v>
      </c>
      <c r="C105" s="88" t="s">
        <v>40</v>
      </c>
      <c r="D105" s="90">
        <v>1000.0</v>
      </c>
      <c r="E105" s="209">
        <v>1000.0</v>
      </c>
      <c r="F105" s="207">
        <v>46202.0</v>
      </c>
      <c r="G105" s="13" t="s">
        <v>14</v>
      </c>
      <c r="H105" s="76" t="s">
        <v>17</v>
      </c>
    </row>
    <row r="106" hidden="1">
      <c r="A106" s="66">
        <v>46202.0</v>
      </c>
      <c r="B106" s="194" t="s">
        <v>129</v>
      </c>
      <c r="C106" s="194" t="s">
        <v>495</v>
      </c>
      <c r="D106" s="195">
        <v>47815.0</v>
      </c>
      <c r="E106" s="196">
        <v>47815.0</v>
      </c>
      <c r="F106" s="145">
        <v>46202.0</v>
      </c>
      <c r="G106" s="65" t="s">
        <v>55</v>
      </c>
      <c r="H106" s="165" t="s">
        <v>496</v>
      </c>
    </row>
    <row r="107" hidden="1">
      <c r="A107" s="47">
        <v>46202.0</v>
      </c>
      <c r="B107" s="13" t="s">
        <v>16</v>
      </c>
      <c r="C107" s="13" t="s">
        <v>498</v>
      </c>
      <c r="D107" s="15">
        <v>21950.0</v>
      </c>
      <c r="E107" s="18">
        <v>21950.0</v>
      </c>
      <c r="F107" s="11">
        <v>46207.0</v>
      </c>
      <c r="G107" s="13" t="s">
        <v>211</v>
      </c>
      <c r="H107" s="118" t="s">
        <v>190</v>
      </c>
    </row>
    <row r="108" hidden="1">
      <c r="A108" s="211"/>
      <c r="B108" s="57"/>
      <c r="C108" s="57"/>
      <c r="D108" s="180"/>
      <c r="E108" s="212"/>
      <c r="F108" s="213"/>
      <c r="G108" s="97"/>
      <c r="H108" s="73"/>
    </row>
    <row r="109">
      <c r="A109" s="93">
        <v>46203.0</v>
      </c>
      <c r="B109" s="41" t="s">
        <v>10</v>
      </c>
      <c r="C109" s="95" t="s">
        <v>115</v>
      </c>
      <c r="D109" s="95">
        <v>200.0</v>
      </c>
      <c r="E109" s="16">
        <v>200.0</v>
      </c>
      <c r="F109" s="98">
        <v>46203.0</v>
      </c>
      <c r="G109" s="95" t="s">
        <v>14</v>
      </c>
      <c r="H109" s="76" t="s">
        <v>17</v>
      </c>
    </row>
    <row r="110">
      <c r="A110" s="185">
        <v>46203.0</v>
      </c>
      <c r="B110" s="186"/>
      <c r="C110" s="187" t="s">
        <v>445</v>
      </c>
      <c r="D110" s="187">
        <v>1300.0</v>
      </c>
      <c r="E110" s="190">
        <v>1300.0</v>
      </c>
      <c r="F110" s="191">
        <v>46203.0</v>
      </c>
      <c r="G110" s="187" t="s">
        <v>14</v>
      </c>
      <c r="H110" s="76" t="s">
        <v>17</v>
      </c>
    </row>
    <row r="111">
      <c r="A111" s="47">
        <v>46203.0</v>
      </c>
      <c r="B111" s="13" t="s">
        <v>38</v>
      </c>
      <c r="C111" s="13" t="s">
        <v>102</v>
      </c>
      <c r="D111" s="13">
        <v>1000.0</v>
      </c>
      <c r="E111" s="18">
        <v>1000.0</v>
      </c>
      <c r="F111" s="11">
        <v>46203.0</v>
      </c>
      <c r="G111" s="13" t="s">
        <v>14</v>
      </c>
      <c r="H111" s="76" t="s">
        <v>17</v>
      </c>
    </row>
    <row r="112">
      <c r="A112" s="47">
        <v>46203.0</v>
      </c>
      <c r="B112" s="13" t="s">
        <v>38</v>
      </c>
      <c r="C112" s="13" t="s">
        <v>40</v>
      </c>
      <c r="D112" s="13">
        <v>1000.0</v>
      </c>
      <c r="E112" s="18">
        <v>1000.0</v>
      </c>
      <c r="F112" s="11">
        <v>46203.0</v>
      </c>
      <c r="G112" s="13" t="s">
        <v>14</v>
      </c>
      <c r="H112" s="76" t="s">
        <v>17</v>
      </c>
      <c r="J112" s="74">
        <f>SUM(E109:E112)</f>
        <v>3500</v>
      </c>
    </row>
    <row r="113" hidden="1">
      <c r="A113" s="47">
        <v>46203.0</v>
      </c>
      <c r="B113" s="13" t="s">
        <v>512</v>
      </c>
      <c r="C113" s="13" t="s">
        <v>294</v>
      </c>
      <c r="D113" s="13">
        <v>80.0</v>
      </c>
      <c r="E113" s="18">
        <v>80.0</v>
      </c>
      <c r="F113" s="11">
        <v>46203.0</v>
      </c>
      <c r="G113" s="13" t="s">
        <v>55</v>
      </c>
      <c r="H113" s="118" t="s">
        <v>514</v>
      </c>
    </row>
    <row r="114" hidden="1">
      <c r="A114" s="47">
        <v>46203.0</v>
      </c>
      <c r="B114" s="13" t="s">
        <v>515</v>
      </c>
      <c r="C114" s="13" t="s">
        <v>516</v>
      </c>
      <c r="D114" s="13">
        <v>8000.0</v>
      </c>
      <c r="E114" s="18">
        <v>8000.0</v>
      </c>
      <c r="F114" s="44">
        <v>46203.0</v>
      </c>
      <c r="G114" s="13" t="s">
        <v>55</v>
      </c>
      <c r="H114" s="118" t="s">
        <v>514</v>
      </c>
    </row>
    <row r="115" hidden="1">
      <c r="A115" s="47">
        <v>46203.0</v>
      </c>
      <c r="B115" s="13" t="s">
        <v>518</v>
      </c>
      <c r="C115" s="13" t="s">
        <v>519</v>
      </c>
      <c r="D115" s="13">
        <v>580.0</v>
      </c>
      <c r="E115" s="18">
        <v>580.0</v>
      </c>
      <c r="F115" s="44">
        <v>46203.0</v>
      </c>
      <c r="G115" s="13" t="s">
        <v>55</v>
      </c>
      <c r="H115" s="118" t="s">
        <v>514</v>
      </c>
      <c r="J115" s="74">
        <f>SUM(E109:E112)</f>
        <v>3500</v>
      </c>
    </row>
    <row r="116" hidden="1">
      <c r="A116" s="47">
        <v>46203.0</v>
      </c>
      <c r="B116" s="13" t="s">
        <v>68</v>
      </c>
      <c r="C116" s="13" t="s">
        <v>521</v>
      </c>
      <c r="D116" s="13">
        <v>3315.0</v>
      </c>
      <c r="E116" s="18">
        <v>3315.0</v>
      </c>
      <c r="F116" s="44">
        <v>46203.0</v>
      </c>
      <c r="G116" s="13" t="s">
        <v>55</v>
      </c>
      <c r="H116" s="118" t="s">
        <v>514</v>
      </c>
    </row>
    <row r="117" hidden="1">
      <c r="A117" s="47">
        <v>46203.0</v>
      </c>
      <c r="B117" s="13" t="s">
        <v>217</v>
      </c>
      <c r="C117" s="13" t="s">
        <v>523</v>
      </c>
      <c r="D117" s="13">
        <v>1000.0</v>
      </c>
      <c r="E117" s="18">
        <v>1000.0</v>
      </c>
      <c r="F117" s="11">
        <v>46203.0</v>
      </c>
      <c r="G117" s="13" t="s">
        <v>55</v>
      </c>
      <c r="H117" s="118" t="s">
        <v>59</v>
      </c>
    </row>
    <row r="118" hidden="1">
      <c r="A118" s="47">
        <v>46203.0</v>
      </c>
      <c r="B118" s="13" t="s">
        <v>524</v>
      </c>
      <c r="C118" s="13" t="s">
        <v>525</v>
      </c>
      <c r="D118" s="15">
        <v>18200.0</v>
      </c>
      <c r="E118" s="18">
        <v>18200.0</v>
      </c>
      <c r="F118" s="11">
        <v>46202.0</v>
      </c>
      <c r="G118" s="13" t="s">
        <v>55</v>
      </c>
      <c r="H118" s="118" t="s">
        <v>42</v>
      </c>
    </row>
    <row r="119" hidden="1">
      <c r="A119" s="47">
        <v>46203.0</v>
      </c>
      <c r="B119" s="13" t="s">
        <v>527</v>
      </c>
      <c r="C119" s="13" t="s">
        <v>528</v>
      </c>
      <c r="D119" s="15">
        <v>8000.0</v>
      </c>
      <c r="E119" s="18">
        <v>8000.0</v>
      </c>
      <c r="F119" s="11">
        <v>46202.0</v>
      </c>
      <c r="G119" s="13" t="s">
        <v>13</v>
      </c>
      <c r="H119" s="118" t="s">
        <v>42</v>
      </c>
    </row>
    <row r="120" hidden="1">
      <c r="A120" s="47">
        <v>46203.0</v>
      </c>
      <c r="B120" s="13" t="s">
        <v>529</v>
      </c>
      <c r="C120" s="13" t="s">
        <v>531</v>
      </c>
      <c r="D120" s="15">
        <v>19140.0</v>
      </c>
      <c r="E120" s="18">
        <v>19140.0</v>
      </c>
      <c r="F120" s="11">
        <v>46207.0</v>
      </c>
      <c r="G120" s="13" t="s">
        <v>211</v>
      </c>
      <c r="H120" s="118" t="s">
        <v>190</v>
      </c>
    </row>
    <row r="121" hidden="1">
      <c r="A121" s="47">
        <v>46203.0</v>
      </c>
      <c r="B121" s="13" t="s">
        <v>21</v>
      </c>
      <c r="C121" s="13" t="s">
        <v>533</v>
      </c>
      <c r="D121" s="15">
        <v>23200.0</v>
      </c>
      <c r="E121" s="18">
        <v>23200.0</v>
      </c>
      <c r="F121" s="44">
        <v>46202.0</v>
      </c>
      <c r="G121" s="13" t="s">
        <v>536</v>
      </c>
      <c r="H121" s="118" t="s">
        <v>42</v>
      </c>
    </row>
    <row r="122" hidden="1">
      <c r="A122" s="47">
        <v>46203.0</v>
      </c>
      <c r="B122" s="13" t="s">
        <v>193</v>
      </c>
      <c r="C122" s="13" t="s">
        <v>539</v>
      </c>
      <c r="D122" s="15">
        <v>46800.0</v>
      </c>
      <c r="E122" s="18">
        <v>46800.0</v>
      </c>
      <c r="F122" s="11">
        <v>46209.0</v>
      </c>
      <c r="G122" s="13" t="s">
        <v>211</v>
      </c>
      <c r="H122" s="118" t="s">
        <v>190</v>
      </c>
    </row>
    <row r="123" hidden="1">
      <c r="A123" s="47">
        <v>46203.0</v>
      </c>
      <c r="B123" s="13" t="s">
        <v>33</v>
      </c>
      <c r="C123" s="13" t="s">
        <v>541</v>
      </c>
      <c r="D123" s="15">
        <v>64250.0</v>
      </c>
      <c r="E123" s="18">
        <v>64250.0</v>
      </c>
      <c r="F123" s="11">
        <v>46213.0</v>
      </c>
      <c r="G123" s="13" t="s">
        <v>55</v>
      </c>
      <c r="H123" s="118" t="s">
        <v>42</v>
      </c>
    </row>
    <row r="124" hidden="1">
      <c r="A124" s="47">
        <v>46203.0</v>
      </c>
      <c r="B124" s="13" t="s">
        <v>543</v>
      </c>
      <c r="C124" s="13" t="s">
        <v>545</v>
      </c>
      <c r="D124" s="15">
        <v>11100.0</v>
      </c>
      <c r="E124" s="18">
        <v>11100.0</v>
      </c>
      <c r="F124" s="11">
        <v>46209.0</v>
      </c>
      <c r="G124" s="13" t="s">
        <v>55</v>
      </c>
      <c r="H124" s="118" t="s">
        <v>42</v>
      </c>
    </row>
    <row r="125" hidden="1">
      <c r="A125" s="47">
        <v>46203.0</v>
      </c>
      <c r="B125" s="13" t="s">
        <v>546</v>
      </c>
      <c r="C125" s="13" t="s">
        <v>547</v>
      </c>
      <c r="D125" s="15">
        <v>11856.0</v>
      </c>
      <c r="E125" s="18">
        <v>11856.0</v>
      </c>
      <c r="F125" s="44">
        <v>46203.0</v>
      </c>
      <c r="G125" s="13" t="s">
        <v>548</v>
      </c>
      <c r="H125" s="38"/>
    </row>
    <row r="126" hidden="1">
      <c r="A126" s="47">
        <v>46203.0</v>
      </c>
      <c r="B126" s="13" t="s">
        <v>549</v>
      </c>
      <c r="C126" s="13" t="s">
        <v>551</v>
      </c>
      <c r="D126" s="15">
        <v>14600.0</v>
      </c>
      <c r="E126" s="18">
        <v>14600.0</v>
      </c>
      <c r="F126" s="44">
        <v>46203.0</v>
      </c>
      <c r="G126" s="13" t="s">
        <v>552</v>
      </c>
      <c r="H126" s="38"/>
    </row>
    <row r="127" hidden="1">
      <c r="A127" s="135"/>
      <c r="B127" s="57"/>
      <c r="C127" s="57"/>
      <c r="D127" s="180"/>
      <c r="E127" s="60"/>
      <c r="F127" s="181"/>
      <c r="G127" s="57"/>
      <c r="H127" s="64"/>
    </row>
    <row r="128" hidden="1">
      <c r="A128" s="221"/>
      <c r="D128" s="103"/>
      <c r="E128" s="74"/>
      <c r="F128" s="221"/>
    </row>
    <row r="129" hidden="1">
      <c r="A129" s="221"/>
      <c r="D129" s="103"/>
      <c r="E129" s="74"/>
      <c r="F129" s="221"/>
    </row>
    <row r="130" hidden="1">
      <c r="A130" s="221"/>
      <c r="D130" s="103"/>
      <c r="E130" s="74"/>
      <c r="F130" s="221"/>
    </row>
    <row r="131" hidden="1">
      <c r="A131" s="221"/>
      <c r="D131" s="103"/>
      <c r="E131" s="74"/>
      <c r="F131" s="221"/>
    </row>
    <row r="132" hidden="1">
      <c r="A132" s="221"/>
      <c r="D132" s="103"/>
      <c r="E132" s="74"/>
      <c r="F132" s="221"/>
    </row>
    <row r="133" hidden="1">
      <c r="A133" s="221"/>
      <c r="D133" s="103"/>
      <c r="E133" s="74"/>
      <c r="F133" s="221"/>
    </row>
    <row r="134" hidden="1">
      <c r="A134" s="221"/>
      <c r="D134" s="103"/>
      <c r="E134" s="74"/>
      <c r="F134" s="221"/>
    </row>
    <row r="135" hidden="1">
      <c r="A135" s="221"/>
      <c r="D135" s="103"/>
      <c r="E135" s="74"/>
      <c r="F135" s="221"/>
    </row>
    <row r="136" hidden="1">
      <c r="A136" s="221"/>
      <c r="D136" s="103"/>
      <c r="E136" s="74"/>
      <c r="F136" s="221"/>
    </row>
    <row r="137" hidden="1">
      <c r="A137" s="221"/>
      <c r="D137" s="103"/>
      <c r="E137" s="74"/>
      <c r="F137" s="221"/>
    </row>
    <row r="138" hidden="1">
      <c r="A138" s="221"/>
      <c r="D138" s="103"/>
      <c r="E138" s="74"/>
      <c r="F138" s="221"/>
    </row>
    <row r="139" hidden="1">
      <c r="A139" s="221"/>
      <c r="D139" s="103"/>
      <c r="E139" s="74"/>
      <c r="F139" s="221"/>
    </row>
    <row r="140" hidden="1">
      <c r="A140" s="221"/>
      <c r="D140" s="103"/>
      <c r="E140" s="74"/>
      <c r="F140" s="221"/>
    </row>
    <row r="141" hidden="1">
      <c r="A141" s="221"/>
      <c r="D141" s="103"/>
      <c r="E141" s="74"/>
      <c r="F141" s="221"/>
    </row>
    <row r="142" hidden="1">
      <c r="A142" s="221"/>
      <c r="D142" s="103"/>
      <c r="E142" s="74"/>
      <c r="F142" s="221"/>
    </row>
    <row r="143" hidden="1">
      <c r="A143" s="221"/>
      <c r="D143" s="103"/>
      <c r="E143" s="74"/>
      <c r="F143" s="221"/>
    </row>
    <row r="144" hidden="1">
      <c r="A144" s="221"/>
      <c r="D144" s="103"/>
      <c r="E144" s="74"/>
      <c r="F144" s="221"/>
    </row>
    <row r="145" hidden="1">
      <c r="A145" s="221"/>
      <c r="D145" s="103"/>
      <c r="E145" s="74"/>
      <c r="F145" s="221"/>
    </row>
    <row r="146" hidden="1">
      <c r="A146" s="221"/>
      <c r="D146" s="103"/>
      <c r="E146" s="74"/>
      <c r="F146" s="221"/>
    </row>
    <row r="147" hidden="1">
      <c r="A147" s="221"/>
      <c r="D147" s="103"/>
      <c r="E147" s="74"/>
      <c r="F147" s="221"/>
    </row>
    <row r="148" hidden="1">
      <c r="A148" s="221"/>
      <c r="D148" s="103"/>
      <c r="E148" s="74"/>
      <c r="F148" s="221"/>
    </row>
    <row r="149" hidden="1">
      <c r="A149" s="221"/>
      <c r="D149" s="103"/>
      <c r="E149" s="74"/>
      <c r="F149" s="221"/>
    </row>
    <row r="150" hidden="1">
      <c r="A150" s="221"/>
      <c r="D150" s="103"/>
      <c r="E150" s="74"/>
      <c r="F150" s="221"/>
    </row>
    <row r="151" hidden="1">
      <c r="A151" s="221"/>
      <c r="D151" s="103"/>
      <c r="E151" s="74"/>
      <c r="F151" s="221"/>
    </row>
    <row r="152" hidden="1">
      <c r="A152" s="221"/>
      <c r="D152" s="103"/>
      <c r="E152" s="74"/>
      <c r="F152" s="221"/>
    </row>
    <row r="153" hidden="1">
      <c r="A153" s="221"/>
      <c r="D153" s="103"/>
      <c r="E153" s="74"/>
      <c r="F153" s="221"/>
    </row>
    <row r="154" hidden="1">
      <c r="A154" s="221"/>
      <c r="D154" s="103"/>
      <c r="E154" s="74"/>
      <c r="F154" s="221"/>
    </row>
    <row r="155" hidden="1">
      <c r="A155" s="221"/>
      <c r="D155" s="103"/>
      <c r="E155" s="74"/>
      <c r="F155" s="221"/>
    </row>
    <row r="156" hidden="1">
      <c r="A156" s="221"/>
      <c r="D156" s="103"/>
      <c r="E156" s="74"/>
      <c r="F156" s="221"/>
    </row>
    <row r="157" hidden="1">
      <c r="A157" s="221"/>
      <c r="D157" s="103"/>
      <c r="E157" s="74"/>
      <c r="F157" s="221"/>
    </row>
    <row r="158" hidden="1">
      <c r="A158" s="221"/>
      <c r="D158" s="103"/>
      <c r="E158" s="74"/>
      <c r="F158" s="221"/>
    </row>
    <row r="159" hidden="1">
      <c r="A159" s="221"/>
      <c r="D159" s="103"/>
      <c r="E159" s="74"/>
      <c r="F159" s="221"/>
    </row>
    <row r="160" hidden="1">
      <c r="A160" s="221"/>
      <c r="D160" s="103"/>
      <c r="E160" s="74"/>
      <c r="F160" s="221"/>
    </row>
    <row r="161" hidden="1">
      <c r="A161" s="221"/>
      <c r="D161" s="103"/>
      <c r="E161" s="74"/>
      <c r="F161" s="221"/>
    </row>
    <row r="162" hidden="1">
      <c r="A162" s="221"/>
      <c r="D162" s="103"/>
      <c r="E162" s="74"/>
      <c r="F162" s="221"/>
    </row>
    <row r="163" hidden="1">
      <c r="A163" s="221"/>
      <c r="D163" s="103"/>
      <c r="E163" s="74"/>
      <c r="F163" s="221"/>
    </row>
    <row r="164" hidden="1">
      <c r="A164" s="221"/>
      <c r="D164" s="103"/>
      <c r="E164" s="74"/>
      <c r="F164" s="221"/>
    </row>
    <row r="165" hidden="1">
      <c r="A165" s="221"/>
      <c r="D165" s="103"/>
      <c r="E165" s="74"/>
      <c r="F165" s="221"/>
    </row>
    <row r="166" hidden="1">
      <c r="A166" s="221"/>
      <c r="D166" s="103"/>
      <c r="E166" s="74"/>
      <c r="F166" s="221"/>
    </row>
    <row r="167" hidden="1">
      <c r="A167" s="221"/>
      <c r="D167" s="103"/>
      <c r="E167" s="74"/>
      <c r="F167" s="221"/>
    </row>
    <row r="168" hidden="1">
      <c r="A168" s="221"/>
      <c r="D168" s="103"/>
      <c r="E168" s="74"/>
      <c r="F168" s="221"/>
    </row>
    <row r="169" hidden="1">
      <c r="A169" s="221"/>
      <c r="D169" s="103"/>
      <c r="E169" s="74"/>
      <c r="F169" s="221"/>
    </row>
    <row r="170" hidden="1">
      <c r="A170" s="221"/>
      <c r="D170" s="103"/>
      <c r="E170" s="74"/>
      <c r="F170" s="221"/>
    </row>
    <row r="171" hidden="1">
      <c r="A171" s="221"/>
      <c r="D171" s="103"/>
      <c r="E171" s="74"/>
      <c r="F171" s="221"/>
    </row>
    <row r="172" hidden="1">
      <c r="A172" s="221"/>
      <c r="D172" s="103"/>
      <c r="E172" s="74"/>
      <c r="F172" s="221"/>
    </row>
    <row r="173" hidden="1">
      <c r="A173" s="221"/>
      <c r="D173" s="103"/>
      <c r="E173" s="74"/>
      <c r="F173" s="221"/>
    </row>
    <row r="174" hidden="1">
      <c r="A174" s="221"/>
      <c r="D174" s="103"/>
      <c r="E174" s="74"/>
      <c r="F174" s="221"/>
    </row>
    <row r="175" hidden="1">
      <c r="A175" s="221"/>
      <c r="D175" s="103"/>
      <c r="E175" s="74"/>
      <c r="F175" s="221"/>
    </row>
    <row r="176" hidden="1">
      <c r="A176" s="221"/>
      <c r="D176" s="103"/>
      <c r="E176" s="74"/>
      <c r="F176" s="221"/>
    </row>
    <row r="177" hidden="1">
      <c r="A177" s="221"/>
      <c r="D177" s="103"/>
      <c r="E177" s="74"/>
      <c r="F177" s="221"/>
    </row>
    <row r="178" hidden="1">
      <c r="A178" s="221"/>
      <c r="D178" s="103"/>
      <c r="E178" s="74"/>
      <c r="F178" s="221"/>
    </row>
    <row r="179" hidden="1">
      <c r="A179" s="221"/>
      <c r="D179" s="103"/>
      <c r="E179" s="74"/>
      <c r="F179" s="221"/>
    </row>
    <row r="180" hidden="1">
      <c r="A180" s="221"/>
      <c r="D180" s="103"/>
      <c r="E180" s="74"/>
      <c r="F180" s="221"/>
    </row>
    <row r="181" hidden="1">
      <c r="A181" s="221"/>
      <c r="D181" s="103"/>
      <c r="E181" s="74"/>
      <c r="F181" s="221"/>
    </row>
    <row r="182" hidden="1">
      <c r="A182" s="221"/>
      <c r="D182" s="103"/>
      <c r="E182" s="74"/>
      <c r="F182" s="221"/>
    </row>
    <row r="183" hidden="1">
      <c r="A183" s="221"/>
      <c r="D183" s="103"/>
      <c r="E183" s="74"/>
      <c r="F183" s="221"/>
    </row>
    <row r="184" hidden="1">
      <c r="A184" s="221"/>
      <c r="D184" s="103"/>
      <c r="E184" s="74"/>
      <c r="F184" s="221"/>
    </row>
    <row r="185" hidden="1">
      <c r="A185" s="221"/>
      <c r="D185" s="103"/>
      <c r="E185" s="74"/>
      <c r="F185" s="221"/>
    </row>
    <row r="186" hidden="1">
      <c r="A186" s="221"/>
      <c r="D186" s="103"/>
      <c r="E186" s="74"/>
      <c r="F186" s="221"/>
    </row>
    <row r="187" hidden="1">
      <c r="A187" s="221"/>
      <c r="D187" s="103"/>
      <c r="E187" s="74"/>
      <c r="F187" s="221"/>
    </row>
    <row r="188" hidden="1">
      <c r="A188" s="221"/>
      <c r="D188" s="103"/>
      <c r="E188" s="74"/>
      <c r="F188" s="221"/>
    </row>
    <row r="189" hidden="1">
      <c r="A189" s="221"/>
      <c r="D189" s="103"/>
      <c r="E189" s="74"/>
      <c r="F189" s="221"/>
    </row>
    <row r="190" hidden="1">
      <c r="A190" s="221"/>
      <c r="D190" s="103"/>
      <c r="E190" s="74"/>
      <c r="F190" s="221"/>
    </row>
    <row r="191" hidden="1">
      <c r="A191" s="221"/>
      <c r="D191" s="103"/>
      <c r="E191" s="74"/>
      <c r="F191" s="221"/>
    </row>
    <row r="192" hidden="1">
      <c r="A192" s="221"/>
      <c r="D192" s="103"/>
      <c r="E192" s="74"/>
      <c r="F192" s="221"/>
    </row>
    <row r="193" hidden="1">
      <c r="A193" s="221"/>
      <c r="D193" s="103"/>
      <c r="E193" s="74"/>
      <c r="F193" s="221"/>
    </row>
    <row r="194" hidden="1">
      <c r="A194" s="221"/>
      <c r="D194" s="103"/>
      <c r="E194" s="74"/>
      <c r="F194" s="221"/>
    </row>
    <row r="195" hidden="1">
      <c r="A195" s="221"/>
      <c r="D195" s="103"/>
      <c r="E195" s="74"/>
      <c r="F195" s="221"/>
    </row>
    <row r="196" hidden="1">
      <c r="A196" s="221"/>
      <c r="D196" s="103"/>
      <c r="E196" s="74"/>
      <c r="F196" s="221"/>
    </row>
    <row r="197" hidden="1">
      <c r="A197" s="221"/>
      <c r="D197" s="103"/>
      <c r="E197" s="74"/>
      <c r="F197" s="221"/>
    </row>
    <row r="198" hidden="1">
      <c r="A198" s="221"/>
      <c r="D198" s="103"/>
      <c r="E198" s="74"/>
      <c r="F198" s="221"/>
    </row>
    <row r="199" hidden="1">
      <c r="A199" s="221"/>
      <c r="D199" s="103"/>
      <c r="E199" s="74"/>
      <c r="F199" s="221"/>
    </row>
    <row r="200" hidden="1">
      <c r="A200" s="221"/>
      <c r="D200" s="103"/>
      <c r="E200" s="74"/>
      <c r="F200" s="221"/>
    </row>
    <row r="201" hidden="1">
      <c r="A201" s="221"/>
      <c r="D201" s="103"/>
      <c r="E201" s="74"/>
      <c r="F201" s="221"/>
    </row>
    <row r="202" hidden="1">
      <c r="A202" s="221"/>
      <c r="D202" s="103"/>
      <c r="E202" s="74"/>
      <c r="F202" s="221"/>
    </row>
    <row r="203" hidden="1">
      <c r="A203" s="221"/>
      <c r="D203" s="103"/>
      <c r="E203" s="74"/>
      <c r="F203" s="221"/>
    </row>
    <row r="204" hidden="1">
      <c r="A204" s="221"/>
      <c r="D204" s="103"/>
      <c r="E204" s="74"/>
      <c r="F204" s="221"/>
    </row>
    <row r="205" hidden="1">
      <c r="A205" s="221"/>
      <c r="D205" s="103"/>
      <c r="E205" s="74"/>
      <c r="F205" s="221"/>
    </row>
    <row r="206" hidden="1">
      <c r="A206" s="221"/>
      <c r="D206" s="103"/>
      <c r="E206" s="74"/>
      <c r="F206" s="221"/>
    </row>
    <row r="207" hidden="1">
      <c r="A207" s="221"/>
      <c r="D207" s="103"/>
      <c r="E207" s="74"/>
      <c r="F207" s="221"/>
    </row>
    <row r="208" hidden="1">
      <c r="A208" s="221"/>
      <c r="D208" s="103"/>
      <c r="E208" s="74"/>
      <c r="F208" s="221"/>
    </row>
    <row r="209" hidden="1">
      <c r="A209" s="221"/>
      <c r="D209" s="103"/>
      <c r="E209" s="74"/>
      <c r="F209" s="221"/>
    </row>
    <row r="210" hidden="1">
      <c r="A210" s="221"/>
      <c r="D210" s="103"/>
      <c r="E210" s="74"/>
      <c r="F210" s="221"/>
    </row>
    <row r="211" hidden="1">
      <c r="A211" s="221"/>
      <c r="D211" s="103"/>
      <c r="E211" s="74"/>
      <c r="F211" s="221"/>
    </row>
    <row r="212" hidden="1">
      <c r="A212" s="221"/>
      <c r="D212" s="103"/>
      <c r="E212" s="74"/>
      <c r="F212" s="221"/>
    </row>
    <row r="213" hidden="1">
      <c r="A213" s="221"/>
      <c r="D213" s="103"/>
      <c r="E213" s="74"/>
      <c r="F213" s="221"/>
    </row>
    <row r="214" hidden="1">
      <c r="A214" s="221"/>
      <c r="D214" s="103"/>
      <c r="E214" s="74"/>
      <c r="F214" s="221"/>
    </row>
    <row r="215" hidden="1">
      <c r="A215" s="221"/>
      <c r="D215" s="103"/>
      <c r="E215" s="74"/>
      <c r="F215" s="221"/>
    </row>
    <row r="216" hidden="1">
      <c r="A216" s="221"/>
      <c r="D216" s="103"/>
      <c r="E216" s="74"/>
      <c r="F216" s="221"/>
    </row>
    <row r="217" hidden="1">
      <c r="A217" s="221"/>
      <c r="D217" s="103"/>
      <c r="E217" s="74"/>
      <c r="F217" s="221"/>
    </row>
    <row r="218" hidden="1">
      <c r="A218" s="221"/>
      <c r="D218" s="103"/>
      <c r="E218" s="74"/>
      <c r="F218" s="221"/>
    </row>
    <row r="219" hidden="1">
      <c r="A219" s="221"/>
      <c r="D219" s="103"/>
      <c r="E219" s="74"/>
      <c r="F219" s="221"/>
    </row>
    <row r="220" hidden="1">
      <c r="A220" s="221"/>
      <c r="D220" s="103"/>
      <c r="E220" s="74"/>
      <c r="F220" s="221"/>
    </row>
    <row r="221" hidden="1">
      <c r="A221" s="221"/>
      <c r="D221" s="103"/>
      <c r="E221" s="74"/>
      <c r="F221" s="221"/>
    </row>
    <row r="222" hidden="1">
      <c r="A222" s="221"/>
      <c r="D222" s="103"/>
      <c r="E222" s="74"/>
      <c r="F222" s="221"/>
    </row>
    <row r="223" hidden="1">
      <c r="A223" s="221"/>
      <c r="D223" s="103"/>
      <c r="E223" s="74"/>
      <c r="F223" s="221"/>
    </row>
    <row r="224" hidden="1">
      <c r="A224" s="221"/>
      <c r="D224" s="103"/>
      <c r="E224" s="74"/>
      <c r="F224" s="221"/>
    </row>
    <row r="225" hidden="1">
      <c r="A225" s="221"/>
      <c r="D225" s="103"/>
      <c r="E225" s="74"/>
      <c r="F225" s="221"/>
    </row>
    <row r="226" hidden="1">
      <c r="A226" s="221"/>
      <c r="D226" s="103"/>
      <c r="E226" s="74"/>
      <c r="F226" s="221"/>
    </row>
    <row r="227" hidden="1">
      <c r="A227" s="221"/>
      <c r="D227" s="103"/>
      <c r="E227" s="74"/>
      <c r="F227" s="221"/>
    </row>
    <row r="228" hidden="1">
      <c r="A228" s="221"/>
      <c r="D228" s="103"/>
      <c r="E228" s="74"/>
      <c r="F228" s="221"/>
    </row>
    <row r="229" hidden="1">
      <c r="A229" s="221"/>
      <c r="D229" s="103"/>
      <c r="E229" s="74"/>
      <c r="F229" s="221"/>
    </row>
    <row r="230" hidden="1">
      <c r="A230" s="221"/>
      <c r="D230" s="103"/>
      <c r="E230" s="74"/>
      <c r="F230" s="221"/>
    </row>
    <row r="231" hidden="1">
      <c r="A231" s="221"/>
      <c r="D231" s="103"/>
      <c r="E231" s="74"/>
      <c r="F231" s="221"/>
    </row>
    <row r="232" hidden="1">
      <c r="A232" s="221"/>
      <c r="D232" s="103"/>
      <c r="E232" s="74"/>
      <c r="F232" s="221"/>
    </row>
    <row r="233" hidden="1">
      <c r="A233" s="221"/>
      <c r="D233" s="103"/>
      <c r="E233" s="74"/>
      <c r="F233" s="221"/>
    </row>
    <row r="234" hidden="1">
      <c r="A234" s="221"/>
      <c r="D234" s="103"/>
      <c r="E234" s="74"/>
      <c r="F234" s="221"/>
    </row>
    <row r="235" hidden="1">
      <c r="A235" s="221"/>
      <c r="D235" s="103"/>
      <c r="E235" s="74"/>
      <c r="F235" s="221"/>
    </row>
    <row r="236" hidden="1">
      <c r="A236" s="221"/>
      <c r="D236" s="103"/>
      <c r="E236" s="74"/>
      <c r="F236" s="221"/>
    </row>
    <row r="237" hidden="1">
      <c r="A237" s="221"/>
      <c r="D237" s="103"/>
      <c r="E237" s="74"/>
      <c r="F237" s="221"/>
    </row>
    <row r="238" hidden="1">
      <c r="A238" s="221"/>
      <c r="D238" s="103"/>
      <c r="E238" s="74"/>
      <c r="F238" s="221"/>
    </row>
    <row r="239" hidden="1">
      <c r="A239" s="221"/>
      <c r="D239" s="103"/>
      <c r="E239" s="74"/>
      <c r="F239" s="221"/>
    </row>
    <row r="240" hidden="1">
      <c r="A240" s="221"/>
      <c r="D240" s="103"/>
      <c r="E240" s="74"/>
      <c r="F240" s="221"/>
    </row>
    <row r="241" hidden="1">
      <c r="A241" s="221"/>
      <c r="D241" s="103"/>
      <c r="E241" s="74"/>
      <c r="F241" s="221"/>
    </row>
    <row r="242" hidden="1">
      <c r="A242" s="221"/>
      <c r="D242" s="103"/>
      <c r="E242" s="74"/>
      <c r="F242" s="221"/>
    </row>
    <row r="243" hidden="1">
      <c r="A243" s="221"/>
      <c r="D243" s="103"/>
      <c r="E243" s="74"/>
      <c r="F243" s="221"/>
    </row>
    <row r="244" hidden="1">
      <c r="A244" s="221"/>
      <c r="D244" s="103"/>
      <c r="E244" s="74"/>
      <c r="F244" s="221"/>
    </row>
    <row r="245" hidden="1">
      <c r="A245" s="221"/>
      <c r="D245" s="103"/>
      <c r="E245" s="74"/>
      <c r="F245" s="221"/>
    </row>
    <row r="246" hidden="1">
      <c r="A246" s="221"/>
      <c r="D246" s="103"/>
      <c r="E246" s="74"/>
      <c r="F246" s="221"/>
    </row>
    <row r="247" hidden="1">
      <c r="A247" s="221"/>
      <c r="D247" s="103"/>
      <c r="E247" s="74"/>
      <c r="F247" s="221"/>
    </row>
    <row r="248" hidden="1">
      <c r="A248" s="221"/>
      <c r="D248" s="103"/>
      <c r="E248" s="74"/>
      <c r="F248" s="221"/>
    </row>
    <row r="249" hidden="1">
      <c r="A249" s="221"/>
      <c r="D249" s="103"/>
      <c r="E249" s="74"/>
      <c r="F249" s="221"/>
    </row>
    <row r="250" hidden="1">
      <c r="A250" s="221"/>
      <c r="D250" s="103"/>
      <c r="E250" s="74"/>
      <c r="F250" s="221"/>
    </row>
    <row r="251" hidden="1">
      <c r="A251" s="221"/>
      <c r="D251" s="103"/>
      <c r="E251" s="74"/>
      <c r="F251" s="221"/>
    </row>
    <row r="252" hidden="1">
      <c r="A252" s="221"/>
      <c r="D252" s="103"/>
      <c r="E252" s="74"/>
      <c r="F252" s="221"/>
    </row>
    <row r="253" hidden="1">
      <c r="A253" s="221"/>
      <c r="D253" s="103"/>
      <c r="E253" s="74"/>
      <c r="F253" s="221"/>
    </row>
    <row r="254" hidden="1">
      <c r="A254" s="221"/>
      <c r="D254" s="103"/>
      <c r="E254" s="74"/>
      <c r="F254" s="221"/>
    </row>
    <row r="255" hidden="1">
      <c r="A255" s="221"/>
      <c r="D255" s="103"/>
      <c r="E255" s="74"/>
      <c r="F255" s="221"/>
    </row>
    <row r="256" hidden="1">
      <c r="A256" s="221"/>
      <c r="D256" s="103"/>
      <c r="E256" s="74"/>
      <c r="F256" s="221"/>
    </row>
    <row r="257" hidden="1">
      <c r="A257" s="221"/>
      <c r="D257" s="103"/>
      <c r="E257" s="74"/>
      <c r="F257" s="221"/>
    </row>
    <row r="258" hidden="1">
      <c r="A258" s="221"/>
      <c r="D258" s="103"/>
      <c r="E258" s="74"/>
      <c r="F258" s="221"/>
    </row>
    <row r="259" hidden="1">
      <c r="A259" s="221"/>
      <c r="D259" s="103"/>
      <c r="E259" s="74"/>
      <c r="F259" s="221"/>
    </row>
    <row r="260" hidden="1">
      <c r="A260" s="221"/>
      <c r="D260" s="103"/>
      <c r="E260" s="74"/>
      <c r="F260" s="221"/>
    </row>
    <row r="261" hidden="1">
      <c r="A261" s="221"/>
      <c r="D261" s="103"/>
      <c r="E261" s="74"/>
      <c r="F261" s="221"/>
    </row>
    <row r="262" hidden="1">
      <c r="A262" s="221"/>
      <c r="D262" s="103"/>
      <c r="E262" s="74"/>
      <c r="F262" s="221"/>
    </row>
    <row r="263" hidden="1">
      <c r="A263" s="221"/>
      <c r="D263" s="103"/>
      <c r="E263" s="74"/>
      <c r="F263" s="221"/>
    </row>
    <row r="264" hidden="1">
      <c r="A264" s="221"/>
      <c r="D264" s="103"/>
      <c r="E264" s="74"/>
      <c r="F264" s="221"/>
    </row>
    <row r="265" hidden="1">
      <c r="A265" s="221"/>
      <c r="D265" s="103"/>
      <c r="E265" s="74"/>
      <c r="F265" s="221"/>
    </row>
    <row r="266" hidden="1">
      <c r="A266" s="221"/>
      <c r="D266" s="103"/>
      <c r="E266" s="74"/>
      <c r="F266" s="221"/>
    </row>
    <row r="267" hidden="1">
      <c r="A267" s="221"/>
      <c r="D267" s="103"/>
      <c r="E267" s="74"/>
      <c r="F267" s="221"/>
    </row>
    <row r="268" hidden="1">
      <c r="A268" s="221"/>
      <c r="D268" s="103"/>
      <c r="E268" s="74"/>
      <c r="F268" s="221"/>
    </row>
    <row r="269" hidden="1">
      <c r="A269" s="221"/>
      <c r="D269" s="103"/>
      <c r="E269" s="74"/>
      <c r="F269" s="221"/>
    </row>
    <row r="270" hidden="1">
      <c r="A270" s="221"/>
      <c r="D270" s="103"/>
      <c r="E270" s="74"/>
      <c r="F270" s="221"/>
    </row>
    <row r="271" hidden="1">
      <c r="A271" s="221"/>
      <c r="D271" s="103"/>
      <c r="E271" s="74"/>
      <c r="F271" s="221"/>
    </row>
    <row r="272" hidden="1">
      <c r="A272" s="221"/>
      <c r="D272" s="103"/>
      <c r="E272" s="74"/>
      <c r="F272" s="221"/>
    </row>
    <row r="273" hidden="1">
      <c r="A273" s="221"/>
      <c r="D273" s="103"/>
      <c r="E273" s="74"/>
      <c r="F273" s="221"/>
    </row>
    <row r="274" hidden="1">
      <c r="A274" s="221"/>
      <c r="D274" s="103"/>
      <c r="E274" s="74"/>
      <c r="F274" s="221"/>
    </row>
    <row r="275" hidden="1">
      <c r="A275" s="221"/>
      <c r="D275" s="103"/>
      <c r="E275" s="74"/>
      <c r="F275" s="221"/>
    </row>
    <row r="276" hidden="1">
      <c r="A276" s="221"/>
      <c r="D276" s="103"/>
      <c r="E276" s="74"/>
      <c r="F276" s="221"/>
    </row>
    <row r="277" hidden="1">
      <c r="A277" s="221"/>
      <c r="D277" s="103"/>
      <c r="E277" s="74"/>
      <c r="F277" s="221"/>
    </row>
    <row r="278" hidden="1">
      <c r="A278" s="221"/>
      <c r="D278" s="103"/>
      <c r="E278" s="74"/>
      <c r="F278" s="221"/>
    </row>
    <row r="279" hidden="1">
      <c r="A279" s="221"/>
      <c r="D279" s="103"/>
      <c r="E279" s="74"/>
      <c r="F279" s="221"/>
    </row>
    <row r="280" hidden="1">
      <c r="A280" s="221"/>
      <c r="D280" s="103"/>
      <c r="E280" s="74"/>
      <c r="F280" s="221"/>
    </row>
    <row r="281" hidden="1">
      <c r="A281" s="221"/>
      <c r="D281" s="103"/>
      <c r="E281" s="74"/>
      <c r="F281" s="221"/>
    </row>
    <row r="282" hidden="1">
      <c r="A282" s="221"/>
      <c r="D282" s="103"/>
      <c r="E282" s="74"/>
      <c r="F282" s="221"/>
    </row>
    <row r="283" hidden="1">
      <c r="A283" s="221"/>
      <c r="D283" s="103"/>
      <c r="E283" s="74"/>
      <c r="F283" s="221"/>
    </row>
    <row r="284" hidden="1">
      <c r="A284" s="221"/>
      <c r="D284" s="103"/>
      <c r="E284" s="74"/>
      <c r="F284" s="221"/>
    </row>
    <row r="285" hidden="1">
      <c r="A285" s="221"/>
      <c r="D285" s="103"/>
      <c r="E285" s="74"/>
      <c r="F285" s="221"/>
    </row>
    <row r="286" hidden="1">
      <c r="A286" s="221"/>
      <c r="D286" s="103"/>
      <c r="E286" s="74"/>
      <c r="F286" s="221"/>
    </row>
    <row r="287" hidden="1">
      <c r="A287" s="221"/>
      <c r="D287" s="103"/>
      <c r="E287" s="74"/>
      <c r="F287" s="221"/>
    </row>
    <row r="288" hidden="1">
      <c r="A288" s="221"/>
      <c r="D288" s="103"/>
      <c r="E288" s="74"/>
      <c r="F288" s="221"/>
    </row>
    <row r="289" hidden="1">
      <c r="A289" s="221"/>
      <c r="D289" s="103"/>
      <c r="E289" s="74"/>
      <c r="F289" s="221"/>
    </row>
    <row r="290" hidden="1">
      <c r="A290" s="221"/>
      <c r="D290" s="103"/>
      <c r="E290" s="74"/>
      <c r="F290" s="221"/>
    </row>
    <row r="291" hidden="1">
      <c r="A291" s="221"/>
      <c r="D291" s="103"/>
      <c r="E291" s="74"/>
      <c r="F291" s="221"/>
    </row>
    <row r="292" hidden="1">
      <c r="A292" s="221"/>
      <c r="D292" s="103"/>
      <c r="E292" s="74"/>
      <c r="F292" s="221"/>
    </row>
    <row r="293" hidden="1">
      <c r="A293" s="221"/>
      <c r="D293" s="103"/>
      <c r="E293" s="74"/>
      <c r="F293" s="221"/>
    </row>
    <row r="294" hidden="1">
      <c r="A294" s="221"/>
      <c r="D294" s="103"/>
      <c r="E294" s="74"/>
      <c r="F294" s="221"/>
    </row>
    <row r="295" hidden="1">
      <c r="A295" s="221"/>
      <c r="D295" s="103"/>
      <c r="E295" s="74"/>
      <c r="F295" s="221"/>
    </row>
    <row r="296" hidden="1">
      <c r="A296" s="221"/>
      <c r="D296" s="103"/>
      <c r="E296" s="74"/>
      <c r="F296" s="221"/>
    </row>
    <row r="297" hidden="1">
      <c r="A297" s="221"/>
      <c r="D297" s="103"/>
      <c r="E297" s="74"/>
      <c r="F297" s="221"/>
    </row>
    <row r="298" hidden="1">
      <c r="A298" s="221"/>
      <c r="D298" s="103"/>
      <c r="E298" s="74"/>
      <c r="F298" s="221"/>
    </row>
    <row r="299" hidden="1">
      <c r="A299" s="221"/>
      <c r="D299" s="103"/>
      <c r="E299" s="74"/>
      <c r="F299" s="221"/>
    </row>
    <row r="300" hidden="1">
      <c r="A300" s="221"/>
      <c r="D300" s="103"/>
      <c r="E300" s="74"/>
      <c r="F300" s="221"/>
    </row>
    <row r="301" hidden="1">
      <c r="A301" s="221"/>
      <c r="D301" s="103"/>
      <c r="E301" s="74"/>
      <c r="F301" s="221"/>
    </row>
    <row r="302" hidden="1">
      <c r="A302" s="221"/>
      <c r="D302" s="103"/>
      <c r="E302" s="74"/>
      <c r="F302" s="221"/>
    </row>
    <row r="303" hidden="1">
      <c r="A303" s="221"/>
      <c r="D303" s="103"/>
      <c r="E303" s="74"/>
      <c r="F303" s="221"/>
    </row>
    <row r="304" hidden="1">
      <c r="A304" s="221"/>
      <c r="D304" s="103"/>
      <c r="E304" s="74"/>
      <c r="F304" s="221"/>
    </row>
    <row r="305" hidden="1">
      <c r="A305" s="221"/>
      <c r="D305" s="103"/>
      <c r="E305" s="74"/>
      <c r="F305" s="221"/>
    </row>
    <row r="306" hidden="1">
      <c r="A306" s="221"/>
      <c r="D306" s="103"/>
      <c r="E306" s="74"/>
      <c r="F306" s="221"/>
    </row>
    <row r="307" hidden="1">
      <c r="A307" s="221"/>
      <c r="D307" s="103"/>
      <c r="E307" s="74"/>
      <c r="F307" s="221"/>
    </row>
    <row r="308" hidden="1">
      <c r="A308" s="221"/>
      <c r="D308" s="103"/>
      <c r="E308" s="74"/>
      <c r="F308" s="221"/>
    </row>
    <row r="309" hidden="1">
      <c r="A309" s="221"/>
      <c r="D309" s="103"/>
      <c r="E309" s="74"/>
      <c r="F309" s="221"/>
    </row>
    <row r="310" hidden="1">
      <c r="A310" s="221"/>
      <c r="D310" s="103"/>
      <c r="E310" s="74"/>
      <c r="F310" s="221"/>
    </row>
    <row r="311" hidden="1">
      <c r="A311" s="221"/>
      <c r="D311" s="103"/>
      <c r="E311" s="74"/>
      <c r="F311" s="221"/>
    </row>
    <row r="312" hidden="1">
      <c r="A312" s="221"/>
      <c r="D312" s="103"/>
      <c r="E312" s="74"/>
      <c r="F312" s="221"/>
    </row>
    <row r="313" hidden="1">
      <c r="A313" s="221"/>
      <c r="D313" s="103"/>
      <c r="E313" s="74"/>
      <c r="F313" s="221"/>
    </row>
    <row r="314" hidden="1">
      <c r="A314" s="221"/>
      <c r="D314" s="103"/>
      <c r="E314" s="74"/>
      <c r="F314" s="221"/>
    </row>
    <row r="315" hidden="1">
      <c r="A315" s="221"/>
      <c r="D315" s="103"/>
      <c r="E315" s="74"/>
      <c r="F315" s="221"/>
    </row>
    <row r="316" hidden="1">
      <c r="A316" s="221"/>
      <c r="D316" s="103"/>
      <c r="E316" s="74"/>
      <c r="F316" s="221"/>
    </row>
    <row r="317" hidden="1">
      <c r="A317" s="221"/>
      <c r="D317" s="103"/>
      <c r="E317" s="74"/>
      <c r="F317" s="221"/>
    </row>
    <row r="318" hidden="1">
      <c r="A318" s="221"/>
      <c r="D318" s="103"/>
      <c r="E318" s="74"/>
      <c r="F318" s="221"/>
    </row>
    <row r="319" hidden="1">
      <c r="A319" s="221"/>
      <c r="D319" s="103"/>
      <c r="E319" s="74"/>
      <c r="F319" s="221"/>
    </row>
    <row r="320" hidden="1">
      <c r="A320" s="221"/>
      <c r="D320" s="103"/>
      <c r="E320" s="74"/>
      <c r="F320" s="221"/>
    </row>
    <row r="321" hidden="1">
      <c r="A321" s="221"/>
      <c r="D321" s="103"/>
      <c r="E321" s="74"/>
      <c r="F321" s="221"/>
    </row>
    <row r="322" hidden="1">
      <c r="A322" s="221"/>
      <c r="D322" s="103"/>
      <c r="E322" s="74"/>
      <c r="F322" s="221"/>
    </row>
    <row r="323" hidden="1">
      <c r="A323" s="221"/>
      <c r="D323" s="103"/>
      <c r="E323" s="74"/>
      <c r="F323" s="221"/>
    </row>
    <row r="324" hidden="1">
      <c r="A324" s="221"/>
      <c r="D324" s="103"/>
      <c r="E324" s="74"/>
      <c r="F324" s="221"/>
    </row>
    <row r="325" hidden="1">
      <c r="A325" s="221"/>
      <c r="D325" s="103"/>
      <c r="E325" s="74"/>
      <c r="F325" s="221"/>
    </row>
    <row r="326" hidden="1">
      <c r="A326" s="221"/>
      <c r="D326" s="103"/>
      <c r="E326" s="74"/>
      <c r="F326" s="221"/>
    </row>
    <row r="327" hidden="1">
      <c r="A327" s="221"/>
      <c r="D327" s="103"/>
      <c r="E327" s="74"/>
      <c r="F327" s="221"/>
    </row>
    <row r="328" hidden="1">
      <c r="A328" s="221"/>
      <c r="D328" s="103"/>
      <c r="E328" s="74"/>
      <c r="F328" s="221"/>
    </row>
    <row r="329" hidden="1">
      <c r="A329" s="221"/>
      <c r="D329" s="103"/>
      <c r="E329" s="74"/>
      <c r="F329" s="221"/>
    </row>
    <row r="330" hidden="1">
      <c r="A330" s="221"/>
      <c r="D330" s="103"/>
      <c r="E330" s="74"/>
      <c r="F330" s="221"/>
    </row>
    <row r="331" hidden="1">
      <c r="A331" s="221"/>
      <c r="D331" s="103"/>
      <c r="E331" s="74"/>
      <c r="F331" s="221"/>
    </row>
    <row r="332" hidden="1">
      <c r="A332" s="221"/>
      <c r="D332" s="103"/>
      <c r="E332" s="74"/>
      <c r="F332" s="221"/>
    </row>
    <row r="333" hidden="1">
      <c r="A333" s="221"/>
      <c r="D333" s="103"/>
      <c r="E333" s="74"/>
      <c r="F333" s="221"/>
    </row>
    <row r="334" hidden="1">
      <c r="A334" s="221"/>
      <c r="D334" s="103"/>
      <c r="E334" s="74"/>
      <c r="F334" s="221"/>
    </row>
    <row r="335" hidden="1">
      <c r="A335" s="221"/>
      <c r="D335" s="103"/>
      <c r="E335" s="74"/>
      <c r="F335" s="221"/>
    </row>
    <row r="336" hidden="1">
      <c r="A336" s="221"/>
      <c r="D336" s="103"/>
      <c r="E336" s="74"/>
      <c r="F336" s="221"/>
    </row>
    <row r="337" hidden="1">
      <c r="A337" s="221"/>
      <c r="D337" s="103"/>
      <c r="E337" s="74"/>
      <c r="F337" s="221"/>
    </row>
    <row r="338" hidden="1">
      <c r="A338" s="221"/>
      <c r="D338" s="103"/>
      <c r="E338" s="74"/>
      <c r="F338" s="221"/>
    </row>
    <row r="339" hidden="1">
      <c r="A339" s="221"/>
      <c r="D339" s="103"/>
      <c r="E339" s="74"/>
      <c r="F339" s="221"/>
    </row>
    <row r="340" hidden="1">
      <c r="A340" s="221"/>
      <c r="D340" s="103"/>
      <c r="E340" s="74"/>
      <c r="F340" s="221"/>
    </row>
    <row r="341" hidden="1">
      <c r="A341" s="221"/>
      <c r="D341" s="103"/>
      <c r="E341" s="74"/>
      <c r="F341" s="221"/>
    </row>
    <row r="342" hidden="1">
      <c r="A342" s="221"/>
      <c r="D342" s="103"/>
      <c r="E342" s="74"/>
      <c r="F342" s="221"/>
    </row>
    <row r="343" hidden="1">
      <c r="A343" s="221"/>
      <c r="D343" s="103"/>
      <c r="E343" s="74"/>
      <c r="F343" s="221"/>
    </row>
    <row r="344" hidden="1">
      <c r="A344" s="221"/>
      <c r="D344" s="103"/>
      <c r="E344" s="74"/>
      <c r="F344" s="221"/>
    </row>
    <row r="345" hidden="1">
      <c r="A345" s="221"/>
      <c r="D345" s="103"/>
      <c r="E345" s="74"/>
      <c r="F345" s="221"/>
    </row>
    <row r="346" hidden="1">
      <c r="A346" s="221"/>
      <c r="D346" s="103"/>
      <c r="E346" s="74"/>
      <c r="F346" s="221"/>
    </row>
    <row r="347" hidden="1">
      <c r="A347" s="221"/>
      <c r="D347" s="103"/>
      <c r="E347" s="74"/>
      <c r="F347" s="221"/>
    </row>
    <row r="348" hidden="1">
      <c r="A348" s="221"/>
      <c r="D348" s="103"/>
      <c r="E348" s="74"/>
      <c r="F348" s="221"/>
    </row>
    <row r="349" hidden="1">
      <c r="A349" s="221"/>
      <c r="D349" s="103"/>
      <c r="E349" s="74"/>
      <c r="F349" s="221"/>
    </row>
    <row r="350" hidden="1">
      <c r="A350" s="221"/>
      <c r="D350" s="103"/>
      <c r="E350" s="74"/>
      <c r="F350" s="221"/>
    </row>
    <row r="351" hidden="1">
      <c r="A351" s="221"/>
      <c r="D351" s="103"/>
      <c r="E351" s="74"/>
      <c r="F351" s="221"/>
    </row>
    <row r="352" hidden="1">
      <c r="A352" s="221"/>
      <c r="D352" s="103"/>
      <c r="E352" s="74"/>
      <c r="F352" s="221"/>
    </row>
    <row r="353" hidden="1">
      <c r="A353" s="221"/>
      <c r="D353" s="103"/>
      <c r="E353" s="74"/>
      <c r="F353" s="221"/>
    </row>
    <row r="354" hidden="1">
      <c r="A354" s="221"/>
      <c r="D354" s="103"/>
      <c r="E354" s="74"/>
      <c r="F354" s="221"/>
    </row>
    <row r="355" hidden="1">
      <c r="A355" s="221"/>
      <c r="D355" s="103"/>
      <c r="E355" s="74"/>
      <c r="F355" s="221"/>
    </row>
    <row r="356" hidden="1">
      <c r="A356" s="221"/>
      <c r="D356" s="103"/>
      <c r="E356" s="74"/>
      <c r="F356" s="221"/>
    </row>
    <row r="357" hidden="1">
      <c r="A357" s="221"/>
      <c r="D357" s="103"/>
      <c r="E357" s="74"/>
      <c r="F357" s="221"/>
    </row>
    <row r="358" hidden="1">
      <c r="A358" s="221"/>
      <c r="D358" s="103"/>
      <c r="E358" s="74"/>
      <c r="F358" s="221"/>
    </row>
    <row r="359" hidden="1">
      <c r="A359" s="221"/>
      <c r="D359" s="103"/>
      <c r="E359" s="74"/>
      <c r="F359" s="221"/>
    </row>
    <row r="360" hidden="1">
      <c r="A360" s="221"/>
      <c r="D360" s="103"/>
      <c r="E360" s="74"/>
      <c r="F360" s="221"/>
    </row>
    <row r="361" hidden="1">
      <c r="A361" s="221"/>
      <c r="D361" s="103"/>
      <c r="E361" s="74"/>
      <c r="F361" s="221"/>
    </row>
    <row r="362" hidden="1">
      <c r="A362" s="221"/>
      <c r="D362" s="103"/>
      <c r="E362" s="74"/>
      <c r="F362" s="221"/>
    </row>
    <row r="363" hidden="1">
      <c r="A363" s="221"/>
      <c r="D363" s="103"/>
      <c r="E363" s="74"/>
      <c r="F363" s="221"/>
    </row>
    <row r="364" hidden="1">
      <c r="A364" s="221"/>
      <c r="D364" s="103"/>
      <c r="E364" s="74"/>
      <c r="F364" s="221"/>
    </row>
    <row r="365" hidden="1">
      <c r="A365" s="221"/>
      <c r="D365" s="103"/>
      <c r="E365" s="74"/>
      <c r="F365" s="221"/>
    </row>
    <row r="366" hidden="1">
      <c r="A366" s="221"/>
      <c r="D366" s="103"/>
      <c r="E366" s="74"/>
      <c r="F366" s="221"/>
    </row>
    <row r="367" hidden="1">
      <c r="A367" s="221"/>
      <c r="D367" s="103"/>
      <c r="E367" s="74"/>
      <c r="F367" s="221"/>
    </row>
    <row r="368" hidden="1">
      <c r="A368" s="221"/>
      <c r="D368" s="103"/>
      <c r="E368" s="74"/>
      <c r="F368" s="221"/>
    </row>
    <row r="369" hidden="1">
      <c r="A369" s="221"/>
      <c r="D369" s="103"/>
      <c r="E369" s="74"/>
      <c r="F369" s="221"/>
    </row>
    <row r="370" hidden="1">
      <c r="A370" s="221"/>
      <c r="D370" s="103"/>
      <c r="E370" s="74"/>
      <c r="F370" s="221"/>
    </row>
    <row r="371" hidden="1">
      <c r="A371" s="221"/>
      <c r="D371" s="103"/>
      <c r="E371" s="74"/>
      <c r="F371" s="221"/>
    </row>
    <row r="372" hidden="1">
      <c r="A372" s="221"/>
      <c r="D372" s="103"/>
      <c r="E372" s="74"/>
      <c r="F372" s="221"/>
    </row>
    <row r="373" hidden="1">
      <c r="A373" s="221"/>
      <c r="D373" s="103"/>
      <c r="E373" s="74"/>
      <c r="F373" s="221"/>
    </row>
    <row r="374" hidden="1">
      <c r="A374" s="221"/>
      <c r="D374" s="103"/>
      <c r="E374" s="74"/>
      <c r="F374" s="221"/>
    </row>
    <row r="375" hidden="1">
      <c r="A375" s="221"/>
      <c r="D375" s="103"/>
      <c r="E375" s="74"/>
      <c r="F375" s="221"/>
    </row>
    <row r="376" hidden="1">
      <c r="A376" s="221"/>
      <c r="D376" s="103"/>
      <c r="E376" s="74"/>
      <c r="F376" s="221"/>
    </row>
    <row r="377" hidden="1">
      <c r="A377" s="221"/>
      <c r="D377" s="103"/>
      <c r="E377" s="74"/>
      <c r="F377" s="221"/>
    </row>
    <row r="378" hidden="1">
      <c r="A378" s="221"/>
      <c r="D378" s="103"/>
      <c r="E378" s="74"/>
      <c r="F378" s="221"/>
    </row>
    <row r="379" hidden="1">
      <c r="A379" s="221"/>
      <c r="D379" s="103"/>
      <c r="E379" s="74"/>
      <c r="F379" s="221"/>
    </row>
    <row r="380" hidden="1">
      <c r="A380" s="221"/>
      <c r="D380" s="103"/>
      <c r="E380" s="74"/>
      <c r="F380" s="221"/>
    </row>
    <row r="381" hidden="1">
      <c r="A381" s="221"/>
      <c r="D381" s="103"/>
      <c r="E381" s="74"/>
      <c r="F381" s="221"/>
    </row>
    <row r="382" hidden="1">
      <c r="A382" s="221"/>
      <c r="D382" s="103"/>
      <c r="E382" s="74"/>
      <c r="F382" s="221"/>
    </row>
    <row r="383" hidden="1">
      <c r="A383" s="221"/>
      <c r="D383" s="103"/>
      <c r="E383" s="74"/>
      <c r="F383" s="221"/>
    </row>
    <row r="384" hidden="1">
      <c r="A384" s="221"/>
      <c r="D384" s="103"/>
      <c r="E384" s="74"/>
      <c r="F384" s="221"/>
    </row>
    <row r="385" hidden="1">
      <c r="A385" s="221"/>
      <c r="D385" s="103"/>
      <c r="E385" s="74"/>
      <c r="F385" s="221"/>
    </row>
    <row r="386" hidden="1">
      <c r="A386" s="221"/>
      <c r="D386" s="103"/>
      <c r="E386" s="74"/>
      <c r="F386" s="221"/>
    </row>
    <row r="387" hidden="1">
      <c r="A387" s="221"/>
      <c r="D387" s="103"/>
      <c r="E387" s="74"/>
      <c r="F387" s="221"/>
    </row>
    <row r="388" hidden="1">
      <c r="A388" s="221"/>
      <c r="D388" s="103"/>
      <c r="E388" s="74"/>
      <c r="F388" s="221"/>
    </row>
    <row r="389" hidden="1">
      <c r="A389" s="221"/>
      <c r="D389" s="103"/>
      <c r="E389" s="74"/>
      <c r="F389" s="221"/>
    </row>
    <row r="390" hidden="1">
      <c r="A390" s="221"/>
      <c r="D390" s="103"/>
      <c r="E390" s="74"/>
      <c r="F390" s="221"/>
    </row>
    <row r="391" hidden="1">
      <c r="A391" s="221"/>
      <c r="D391" s="103"/>
      <c r="E391" s="74"/>
      <c r="F391" s="221"/>
    </row>
    <row r="392" hidden="1">
      <c r="A392" s="221"/>
      <c r="D392" s="103"/>
      <c r="E392" s="74"/>
      <c r="F392" s="221"/>
    </row>
    <row r="393" hidden="1">
      <c r="A393" s="221"/>
      <c r="D393" s="103"/>
      <c r="E393" s="74"/>
      <c r="F393" s="221"/>
    </row>
    <row r="394" hidden="1">
      <c r="A394" s="221"/>
      <c r="D394" s="103"/>
      <c r="E394" s="74"/>
      <c r="F394" s="221"/>
    </row>
    <row r="395" hidden="1">
      <c r="A395" s="221"/>
      <c r="D395" s="103"/>
      <c r="E395" s="74"/>
      <c r="F395" s="221"/>
    </row>
    <row r="396" hidden="1">
      <c r="A396" s="221"/>
      <c r="D396" s="103"/>
      <c r="E396" s="74"/>
      <c r="F396" s="221"/>
    </row>
    <row r="397" hidden="1">
      <c r="A397" s="221"/>
      <c r="D397" s="103"/>
      <c r="E397" s="74"/>
      <c r="F397" s="221"/>
    </row>
    <row r="398" hidden="1">
      <c r="A398" s="221"/>
      <c r="D398" s="103"/>
      <c r="E398" s="74"/>
      <c r="F398" s="221"/>
    </row>
    <row r="399" hidden="1">
      <c r="A399" s="221"/>
      <c r="D399" s="103"/>
      <c r="E399" s="74"/>
      <c r="F399" s="221"/>
    </row>
    <row r="400" hidden="1">
      <c r="A400" s="221"/>
      <c r="D400" s="103"/>
      <c r="E400" s="74"/>
      <c r="F400" s="221"/>
    </row>
    <row r="401" hidden="1">
      <c r="A401" s="221"/>
      <c r="D401" s="103"/>
      <c r="E401" s="74"/>
      <c r="F401" s="221"/>
    </row>
    <row r="402" hidden="1">
      <c r="A402" s="221"/>
      <c r="D402" s="103"/>
      <c r="E402" s="74"/>
      <c r="F402" s="221"/>
    </row>
    <row r="403" hidden="1">
      <c r="A403" s="221"/>
      <c r="D403" s="103"/>
      <c r="E403" s="74"/>
      <c r="F403" s="221"/>
    </row>
    <row r="404" hidden="1">
      <c r="A404" s="221"/>
      <c r="D404" s="103"/>
      <c r="E404" s="74"/>
      <c r="F404" s="221"/>
    </row>
    <row r="405" hidden="1">
      <c r="A405" s="221"/>
      <c r="D405" s="103"/>
      <c r="E405" s="74"/>
      <c r="F405" s="221"/>
    </row>
    <row r="406" hidden="1">
      <c r="A406" s="221"/>
      <c r="D406" s="103"/>
      <c r="E406" s="74"/>
      <c r="F406" s="221"/>
    </row>
    <row r="407" hidden="1">
      <c r="A407" s="221"/>
      <c r="D407" s="103"/>
      <c r="E407" s="74"/>
      <c r="F407" s="221"/>
    </row>
    <row r="408" hidden="1">
      <c r="A408" s="221"/>
      <c r="D408" s="103"/>
      <c r="E408" s="74"/>
      <c r="F408" s="221"/>
    </row>
    <row r="409" hidden="1">
      <c r="A409" s="221"/>
      <c r="D409" s="103"/>
      <c r="E409" s="74"/>
      <c r="F409" s="221"/>
    </row>
    <row r="410" hidden="1">
      <c r="A410" s="221"/>
      <c r="D410" s="103"/>
      <c r="E410" s="74"/>
      <c r="F410" s="221"/>
    </row>
    <row r="411" hidden="1">
      <c r="A411" s="221"/>
      <c r="D411" s="103"/>
      <c r="E411" s="74"/>
      <c r="F411" s="221"/>
    </row>
    <row r="412" hidden="1">
      <c r="A412" s="221"/>
      <c r="D412" s="103"/>
      <c r="E412" s="74"/>
      <c r="F412" s="221"/>
    </row>
    <row r="413" hidden="1">
      <c r="A413" s="221"/>
      <c r="D413" s="103"/>
      <c r="E413" s="74"/>
      <c r="F413" s="221"/>
    </row>
    <row r="414" hidden="1">
      <c r="A414" s="221"/>
      <c r="D414" s="103"/>
      <c r="E414" s="74"/>
      <c r="F414" s="221"/>
    </row>
    <row r="415" hidden="1">
      <c r="A415" s="221"/>
      <c r="D415" s="103"/>
      <c r="E415" s="74"/>
      <c r="F415" s="221"/>
    </row>
    <row r="416" hidden="1">
      <c r="A416" s="221"/>
      <c r="D416" s="103"/>
      <c r="E416" s="74"/>
      <c r="F416" s="221"/>
    </row>
    <row r="417" hidden="1">
      <c r="A417" s="221"/>
      <c r="D417" s="103"/>
      <c r="E417" s="74"/>
      <c r="F417" s="221"/>
    </row>
    <row r="418" hidden="1">
      <c r="A418" s="221"/>
      <c r="D418" s="103"/>
      <c r="E418" s="74"/>
      <c r="F418" s="221"/>
    </row>
    <row r="419" hidden="1">
      <c r="A419" s="221"/>
      <c r="D419" s="103"/>
      <c r="E419" s="74"/>
      <c r="F419" s="221"/>
    </row>
    <row r="420" hidden="1">
      <c r="A420" s="221"/>
      <c r="D420" s="103"/>
      <c r="E420" s="74"/>
      <c r="F420" s="221"/>
    </row>
    <row r="421" hidden="1">
      <c r="A421" s="221"/>
      <c r="D421" s="103"/>
      <c r="E421" s="74"/>
      <c r="F421" s="221"/>
    </row>
    <row r="422" hidden="1">
      <c r="A422" s="221"/>
      <c r="D422" s="103"/>
      <c r="E422" s="74"/>
      <c r="F422" s="221"/>
    </row>
    <row r="423" hidden="1">
      <c r="A423" s="221"/>
      <c r="D423" s="103"/>
      <c r="E423" s="74"/>
      <c r="F423" s="221"/>
    </row>
    <row r="424" hidden="1">
      <c r="A424" s="221"/>
      <c r="D424" s="103"/>
      <c r="E424" s="74"/>
      <c r="F424" s="221"/>
    </row>
    <row r="425" hidden="1">
      <c r="A425" s="221"/>
      <c r="D425" s="103"/>
      <c r="E425" s="74"/>
      <c r="F425" s="221"/>
    </row>
    <row r="426" hidden="1">
      <c r="A426" s="221"/>
      <c r="D426" s="103"/>
      <c r="E426" s="74"/>
      <c r="F426" s="221"/>
    </row>
    <row r="427" hidden="1">
      <c r="A427" s="221"/>
      <c r="D427" s="103"/>
      <c r="E427" s="74"/>
      <c r="F427" s="221"/>
    </row>
    <row r="428" hidden="1">
      <c r="A428" s="221"/>
      <c r="D428" s="103"/>
      <c r="E428" s="74"/>
      <c r="F428" s="221"/>
    </row>
    <row r="429" hidden="1">
      <c r="A429" s="221"/>
      <c r="D429" s="103"/>
      <c r="E429" s="74"/>
      <c r="F429" s="221"/>
    </row>
    <row r="430" hidden="1">
      <c r="A430" s="221"/>
      <c r="D430" s="103"/>
      <c r="E430" s="74"/>
      <c r="F430" s="221"/>
    </row>
    <row r="431" hidden="1">
      <c r="A431" s="221"/>
      <c r="D431" s="103"/>
      <c r="E431" s="74"/>
      <c r="F431" s="221"/>
    </row>
    <row r="432" hidden="1">
      <c r="A432" s="221"/>
      <c r="D432" s="103"/>
      <c r="E432" s="74"/>
      <c r="F432" s="221"/>
    </row>
    <row r="433" hidden="1">
      <c r="A433" s="221"/>
      <c r="D433" s="103"/>
      <c r="E433" s="74"/>
      <c r="F433" s="221"/>
    </row>
    <row r="434" hidden="1">
      <c r="A434" s="221"/>
      <c r="D434" s="103"/>
      <c r="E434" s="74"/>
      <c r="F434" s="221"/>
    </row>
    <row r="435" hidden="1">
      <c r="A435" s="221"/>
      <c r="D435" s="103"/>
      <c r="E435" s="74"/>
      <c r="F435" s="221"/>
    </row>
    <row r="436" hidden="1">
      <c r="A436" s="221"/>
      <c r="D436" s="103"/>
      <c r="E436" s="74"/>
      <c r="F436" s="221"/>
    </row>
    <row r="437" hidden="1">
      <c r="A437" s="221"/>
      <c r="D437" s="103"/>
      <c r="E437" s="74"/>
      <c r="F437" s="221"/>
    </row>
    <row r="438" hidden="1">
      <c r="A438" s="221"/>
      <c r="D438" s="103"/>
      <c r="E438" s="74"/>
      <c r="F438" s="221"/>
    </row>
    <row r="439" hidden="1">
      <c r="A439" s="221"/>
      <c r="D439" s="103"/>
      <c r="E439" s="74"/>
      <c r="F439" s="221"/>
    </row>
    <row r="440" hidden="1">
      <c r="A440" s="221"/>
      <c r="D440" s="103"/>
      <c r="E440" s="74"/>
      <c r="F440" s="221"/>
    </row>
    <row r="441" hidden="1">
      <c r="A441" s="221"/>
      <c r="D441" s="103"/>
      <c r="E441" s="74"/>
      <c r="F441" s="221"/>
    </row>
    <row r="442" hidden="1">
      <c r="A442" s="221"/>
      <c r="D442" s="103"/>
      <c r="E442" s="74"/>
      <c r="F442" s="221"/>
    </row>
    <row r="443" hidden="1">
      <c r="A443" s="221"/>
      <c r="D443" s="103"/>
      <c r="E443" s="74"/>
      <c r="F443" s="221"/>
    </row>
    <row r="444" hidden="1">
      <c r="A444" s="221"/>
      <c r="D444" s="103"/>
      <c r="E444" s="74"/>
      <c r="F444" s="221"/>
    </row>
    <row r="445" hidden="1">
      <c r="A445" s="221"/>
      <c r="D445" s="103"/>
      <c r="E445" s="74"/>
      <c r="F445" s="221"/>
    </row>
    <row r="446" hidden="1">
      <c r="A446" s="221"/>
      <c r="D446" s="103"/>
      <c r="E446" s="74"/>
      <c r="F446" s="221"/>
    </row>
    <row r="447" hidden="1">
      <c r="A447" s="221"/>
      <c r="D447" s="103"/>
      <c r="E447" s="74"/>
      <c r="F447" s="221"/>
    </row>
    <row r="448" hidden="1">
      <c r="A448" s="221"/>
      <c r="D448" s="103"/>
      <c r="E448" s="74"/>
      <c r="F448" s="221"/>
    </row>
    <row r="449" hidden="1">
      <c r="A449" s="221"/>
      <c r="D449" s="103"/>
      <c r="E449" s="74"/>
      <c r="F449" s="221"/>
    </row>
    <row r="450" hidden="1">
      <c r="A450" s="221"/>
      <c r="D450" s="103"/>
      <c r="E450" s="74"/>
      <c r="F450" s="221"/>
    </row>
    <row r="451" hidden="1">
      <c r="A451" s="221"/>
      <c r="D451" s="103"/>
      <c r="E451" s="74"/>
      <c r="F451" s="221"/>
    </row>
    <row r="452" hidden="1">
      <c r="A452" s="221"/>
      <c r="D452" s="103"/>
      <c r="E452" s="74"/>
      <c r="F452" s="221"/>
    </row>
    <row r="453" hidden="1">
      <c r="A453" s="221"/>
      <c r="D453" s="103"/>
      <c r="E453" s="74"/>
      <c r="F453" s="221"/>
    </row>
    <row r="454" hidden="1">
      <c r="A454" s="221"/>
      <c r="D454" s="103"/>
      <c r="E454" s="74"/>
      <c r="F454" s="221"/>
    </row>
    <row r="455" hidden="1">
      <c r="A455" s="221"/>
      <c r="D455" s="103"/>
      <c r="E455" s="74"/>
      <c r="F455" s="221"/>
    </row>
    <row r="456" hidden="1">
      <c r="A456" s="221"/>
      <c r="D456" s="103"/>
      <c r="E456" s="74"/>
      <c r="F456" s="221"/>
    </row>
    <row r="457" hidden="1">
      <c r="A457" s="221"/>
      <c r="D457" s="103"/>
      <c r="E457" s="74"/>
      <c r="F457" s="221"/>
    </row>
    <row r="458" hidden="1">
      <c r="A458" s="221"/>
      <c r="D458" s="103"/>
      <c r="E458" s="74"/>
      <c r="F458" s="221"/>
    </row>
    <row r="459" hidden="1">
      <c r="A459" s="221"/>
      <c r="D459" s="103"/>
      <c r="E459" s="74"/>
      <c r="F459" s="221"/>
    </row>
    <row r="460" hidden="1">
      <c r="A460" s="221"/>
      <c r="D460" s="103"/>
      <c r="E460" s="74"/>
      <c r="F460" s="221"/>
    </row>
    <row r="461" hidden="1">
      <c r="A461" s="221"/>
      <c r="D461" s="103"/>
      <c r="E461" s="74"/>
      <c r="F461" s="221"/>
    </row>
    <row r="462" hidden="1">
      <c r="A462" s="221"/>
      <c r="D462" s="103"/>
      <c r="E462" s="74"/>
      <c r="F462" s="221"/>
    </row>
    <row r="463" hidden="1">
      <c r="A463" s="221"/>
      <c r="D463" s="103"/>
      <c r="E463" s="74"/>
      <c r="F463" s="221"/>
    </row>
    <row r="464" hidden="1">
      <c r="A464" s="221"/>
      <c r="D464" s="103"/>
      <c r="E464" s="74"/>
      <c r="F464" s="221"/>
    </row>
    <row r="465" hidden="1">
      <c r="A465" s="221"/>
      <c r="D465" s="103"/>
      <c r="E465" s="74"/>
      <c r="F465" s="221"/>
    </row>
    <row r="466" hidden="1">
      <c r="A466" s="221"/>
      <c r="D466" s="103"/>
      <c r="E466" s="74"/>
      <c r="F466" s="221"/>
    </row>
    <row r="467" hidden="1">
      <c r="A467" s="221"/>
      <c r="D467" s="103"/>
      <c r="E467" s="74"/>
      <c r="F467" s="221"/>
    </row>
    <row r="468" hidden="1">
      <c r="A468" s="221"/>
      <c r="D468" s="103"/>
      <c r="E468" s="74"/>
      <c r="F468" s="221"/>
    </row>
    <row r="469" hidden="1">
      <c r="A469" s="221"/>
      <c r="D469" s="103"/>
      <c r="E469" s="74"/>
      <c r="F469" s="221"/>
    </row>
    <row r="470" hidden="1">
      <c r="A470" s="221"/>
      <c r="D470" s="103"/>
      <c r="E470" s="74"/>
      <c r="F470" s="221"/>
    </row>
    <row r="471" hidden="1">
      <c r="A471" s="221"/>
      <c r="D471" s="103"/>
      <c r="E471" s="74"/>
      <c r="F471" s="221"/>
    </row>
    <row r="472" hidden="1">
      <c r="A472" s="221"/>
      <c r="D472" s="103"/>
      <c r="E472" s="74"/>
      <c r="F472" s="221"/>
    </row>
    <row r="473" hidden="1">
      <c r="A473" s="221"/>
      <c r="D473" s="103"/>
      <c r="E473" s="74"/>
      <c r="F473" s="221"/>
    </row>
    <row r="474" hidden="1">
      <c r="A474" s="221"/>
      <c r="D474" s="103"/>
      <c r="E474" s="74"/>
      <c r="F474" s="221"/>
    </row>
    <row r="475" hidden="1">
      <c r="A475" s="221"/>
      <c r="D475" s="103"/>
      <c r="E475" s="74"/>
      <c r="F475" s="221"/>
    </row>
    <row r="476" hidden="1">
      <c r="A476" s="221"/>
      <c r="D476" s="103"/>
      <c r="E476" s="74"/>
      <c r="F476" s="221"/>
    </row>
    <row r="477" hidden="1">
      <c r="A477" s="221"/>
      <c r="D477" s="103"/>
      <c r="E477" s="74"/>
      <c r="F477" s="221"/>
    </row>
    <row r="478" hidden="1">
      <c r="A478" s="221"/>
      <c r="D478" s="103"/>
      <c r="E478" s="74"/>
      <c r="F478" s="221"/>
    </row>
    <row r="479" hidden="1">
      <c r="A479" s="221"/>
      <c r="D479" s="103"/>
      <c r="E479" s="74"/>
      <c r="F479" s="221"/>
    </row>
    <row r="480" hidden="1">
      <c r="A480" s="221"/>
      <c r="D480" s="103"/>
      <c r="E480" s="74"/>
      <c r="F480" s="221"/>
    </row>
    <row r="481" hidden="1">
      <c r="A481" s="221"/>
      <c r="D481" s="103"/>
      <c r="E481" s="74"/>
      <c r="F481" s="221"/>
    </row>
    <row r="482" hidden="1">
      <c r="A482" s="221"/>
      <c r="D482" s="103"/>
      <c r="E482" s="74"/>
      <c r="F482" s="221"/>
    </row>
    <row r="483" hidden="1">
      <c r="A483" s="221"/>
      <c r="D483" s="103"/>
      <c r="E483" s="74"/>
      <c r="F483" s="221"/>
    </row>
    <row r="484" hidden="1">
      <c r="A484" s="221"/>
      <c r="D484" s="103"/>
      <c r="E484" s="74"/>
      <c r="F484" s="221"/>
    </row>
    <row r="485" hidden="1">
      <c r="A485" s="221"/>
      <c r="D485" s="103"/>
      <c r="E485" s="74"/>
      <c r="F485" s="221"/>
    </row>
    <row r="486" hidden="1">
      <c r="A486" s="221"/>
      <c r="D486" s="103"/>
      <c r="E486" s="74"/>
      <c r="F486" s="221"/>
    </row>
    <row r="487" hidden="1">
      <c r="A487" s="221"/>
      <c r="D487" s="103"/>
      <c r="E487" s="74"/>
      <c r="F487" s="221"/>
    </row>
    <row r="488" hidden="1">
      <c r="A488" s="221"/>
      <c r="D488" s="103"/>
      <c r="E488" s="74"/>
      <c r="F488" s="221"/>
    </row>
    <row r="489" hidden="1">
      <c r="A489" s="221"/>
      <c r="D489" s="103"/>
      <c r="E489" s="74"/>
      <c r="F489" s="221"/>
    </row>
    <row r="490" hidden="1">
      <c r="A490" s="221"/>
      <c r="D490" s="103"/>
      <c r="E490" s="74"/>
      <c r="F490" s="221"/>
    </row>
    <row r="491" hidden="1">
      <c r="A491" s="221"/>
      <c r="D491" s="103"/>
      <c r="E491" s="74"/>
      <c r="F491" s="221"/>
    </row>
    <row r="492" hidden="1">
      <c r="A492" s="221"/>
      <c r="D492" s="103"/>
      <c r="E492" s="74"/>
      <c r="F492" s="221"/>
    </row>
    <row r="493" hidden="1">
      <c r="A493" s="221"/>
      <c r="D493" s="103"/>
      <c r="E493" s="74"/>
      <c r="F493" s="221"/>
    </row>
    <row r="494" hidden="1">
      <c r="A494" s="221"/>
      <c r="D494" s="103"/>
      <c r="E494" s="74"/>
      <c r="F494" s="221"/>
    </row>
    <row r="495" hidden="1">
      <c r="A495" s="221"/>
      <c r="D495" s="103"/>
      <c r="E495" s="74"/>
      <c r="F495" s="221"/>
    </row>
    <row r="496" hidden="1">
      <c r="A496" s="221"/>
      <c r="D496" s="103"/>
      <c r="E496" s="74"/>
      <c r="F496" s="221"/>
    </row>
    <row r="497" hidden="1">
      <c r="A497" s="221"/>
      <c r="D497" s="103"/>
      <c r="E497" s="74"/>
      <c r="F497" s="221"/>
    </row>
    <row r="498" hidden="1">
      <c r="A498" s="221"/>
      <c r="D498" s="103"/>
      <c r="E498" s="74"/>
      <c r="F498" s="221"/>
    </row>
    <row r="499" hidden="1">
      <c r="A499" s="221"/>
      <c r="D499" s="103"/>
      <c r="E499" s="74"/>
      <c r="F499" s="221"/>
    </row>
    <row r="500" hidden="1">
      <c r="A500" s="221"/>
      <c r="D500" s="103"/>
      <c r="E500" s="74"/>
      <c r="F500" s="221"/>
    </row>
    <row r="501" hidden="1">
      <c r="A501" s="221"/>
      <c r="D501" s="103"/>
      <c r="E501" s="74"/>
      <c r="F501" s="221"/>
    </row>
    <row r="502" hidden="1">
      <c r="A502" s="221"/>
      <c r="D502" s="103"/>
      <c r="E502" s="74"/>
      <c r="F502" s="221"/>
    </row>
    <row r="503" hidden="1">
      <c r="A503" s="221"/>
      <c r="D503" s="103"/>
      <c r="E503" s="74"/>
      <c r="F503" s="221"/>
    </row>
    <row r="504" hidden="1">
      <c r="A504" s="221"/>
      <c r="D504" s="103"/>
      <c r="E504" s="74"/>
      <c r="F504" s="221"/>
    </row>
    <row r="505" hidden="1">
      <c r="A505" s="221"/>
      <c r="D505" s="103"/>
      <c r="E505" s="74"/>
      <c r="F505" s="221"/>
    </row>
    <row r="506" hidden="1">
      <c r="A506" s="221"/>
      <c r="D506" s="103"/>
      <c r="E506" s="74"/>
      <c r="F506" s="221"/>
    </row>
    <row r="507" hidden="1">
      <c r="A507" s="221"/>
      <c r="D507" s="103"/>
      <c r="E507" s="74"/>
      <c r="F507" s="221"/>
    </row>
    <row r="508" hidden="1">
      <c r="A508" s="221"/>
      <c r="D508" s="103"/>
      <c r="E508" s="74"/>
      <c r="F508" s="221"/>
    </row>
    <row r="509" hidden="1">
      <c r="A509" s="221"/>
      <c r="D509" s="103"/>
      <c r="E509" s="74"/>
      <c r="F509" s="221"/>
    </row>
    <row r="510" hidden="1">
      <c r="A510" s="221"/>
      <c r="D510" s="103"/>
      <c r="E510" s="74"/>
      <c r="F510" s="221"/>
    </row>
    <row r="511" hidden="1">
      <c r="A511" s="221"/>
      <c r="D511" s="103"/>
      <c r="E511" s="74"/>
      <c r="F511" s="221"/>
    </row>
    <row r="512" hidden="1">
      <c r="A512" s="221"/>
      <c r="D512" s="103"/>
      <c r="E512" s="74"/>
      <c r="F512" s="221"/>
    </row>
    <row r="513" hidden="1">
      <c r="A513" s="221"/>
      <c r="D513" s="103"/>
      <c r="E513" s="74"/>
      <c r="F513" s="221"/>
    </row>
    <row r="514" hidden="1">
      <c r="A514" s="221"/>
      <c r="D514" s="103"/>
      <c r="E514" s="74"/>
      <c r="F514" s="221"/>
    </row>
    <row r="515" hidden="1">
      <c r="A515" s="221"/>
      <c r="D515" s="103"/>
      <c r="E515" s="74"/>
      <c r="F515" s="221"/>
    </row>
    <row r="516" hidden="1">
      <c r="A516" s="221"/>
      <c r="D516" s="103"/>
      <c r="E516" s="74"/>
      <c r="F516" s="221"/>
    </row>
    <row r="517" hidden="1">
      <c r="A517" s="221"/>
      <c r="D517" s="103"/>
      <c r="E517" s="74"/>
      <c r="F517" s="221"/>
    </row>
    <row r="518" hidden="1">
      <c r="A518" s="221"/>
      <c r="D518" s="103"/>
      <c r="E518" s="74"/>
      <c r="F518" s="221"/>
    </row>
    <row r="519" hidden="1">
      <c r="A519" s="221"/>
      <c r="D519" s="103"/>
      <c r="E519" s="74"/>
      <c r="F519" s="221"/>
    </row>
    <row r="520" hidden="1">
      <c r="A520" s="221"/>
      <c r="D520" s="103"/>
      <c r="E520" s="74"/>
      <c r="F520" s="221"/>
    </row>
    <row r="521" hidden="1">
      <c r="A521" s="221"/>
      <c r="D521" s="103"/>
      <c r="E521" s="74"/>
      <c r="F521" s="221"/>
    </row>
    <row r="522" hidden="1">
      <c r="A522" s="221"/>
      <c r="D522" s="103"/>
      <c r="E522" s="74"/>
      <c r="F522" s="221"/>
    </row>
    <row r="523" hidden="1">
      <c r="A523" s="221"/>
      <c r="D523" s="103"/>
      <c r="E523" s="74"/>
      <c r="F523" s="221"/>
    </row>
    <row r="524" hidden="1">
      <c r="A524" s="221"/>
      <c r="D524" s="103"/>
      <c r="E524" s="74"/>
      <c r="F524" s="221"/>
    </row>
    <row r="525" hidden="1">
      <c r="A525" s="221"/>
      <c r="D525" s="103"/>
      <c r="E525" s="74"/>
      <c r="F525" s="221"/>
    </row>
    <row r="526" hidden="1">
      <c r="A526" s="221"/>
      <c r="D526" s="103"/>
      <c r="E526" s="74"/>
      <c r="F526" s="221"/>
    </row>
    <row r="527" hidden="1">
      <c r="A527" s="221"/>
      <c r="D527" s="103"/>
      <c r="E527" s="74"/>
      <c r="F527" s="221"/>
    </row>
    <row r="528" hidden="1">
      <c r="A528" s="221"/>
      <c r="D528" s="103"/>
      <c r="E528" s="74"/>
      <c r="F528" s="221"/>
    </row>
    <row r="529" hidden="1">
      <c r="A529" s="221"/>
      <c r="D529" s="103"/>
      <c r="E529" s="74"/>
      <c r="F529" s="221"/>
    </row>
    <row r="530" hidden="1">
      <c r="A530" s="221"/>
      <c r="D530" s="103"/>
      <c r="E530" s="74"/>
      <c r="F530" s="221"/>
    </row>
    <row r="531" hidden="1">
      <c r="A531" s="221"/>
      <c r="D531" s="103"/>
      <c r="E531" s="74"/>
      <c r="F531" s="221"/>
    </row>
    <row r="532" hidden="1">
      <c r="A532" s="221"/>
      <c r="D532" s="103"/>
      <c r="E532" s="74"/>
      <c r="F532" s="221"/>
    </row>
    <row r="533" hidden="1">
      <c r="A533" s="221"/>
      <c r="D533" s="103"/>
      <c r="E533" s="74"/>
      <c r="F533" s="221"/>
    </row>
    <row r="534" hidden="1">
      <c r="A534" s="221"/>
      <c r="D534" s="103"/>
      <c r="E534" s="74"/>
      <c r="F534" s="221"/>
    </row>
    <row r="535" hidden="1">
      <c r="A535" s="221"/>
      <c r="D535" s="103"/>
      <c r="E535" s="74"/>
      <c r="F535" s="221"/>
    </row>
    <row r="536" hidden="1">
      <c r="A536" s="221"/>
      <c r="D536" s="103"/>
      <c r="E536" s="74"/>
      <c r="F536" s="221"/>
    </row>
    <row r="537" hidden="1">
      <c r="A537" s="221"/>
      <c r="D537" s="103"/>
      <c r="E537" s="74"/>
      <c r="F537" s="221"/>
    </row>
    <row r="538" hidden="1">
      <c r="A538" s="221"/>
      <c r="D538" s="103"/>
      <c r="E538" s="74"/>
      <c r="F538" s="221"/>
    </row>
    <row r="539" hidden="1">
      <c r="A539" s="221"/>
      <c r="D539" s="103"/>
      <c r="E539" s="74"/>
      <c r="F539" s="221"/>
    </row>
    <row r="540" hidden="1">
      <c r="A540" s="221"/>
      <c r="D540" s="103"/>
      <c r="E540" s="74"/>
      <c r="F540" s="221"/>
    </row>
    <row r="541" hidden="1">
      <c r="A541" s="221"/>
      <c r="D541" s="103"/>
      <c r="E541" s="74"/>
      <c r="F541" s="221"/>
    </row>
    <row r="542" hidden="1">
      <c r="A542" s="221"/>
      <c r="D542" s="103"/>
      <c r="E542" s="74"/>
      <c r="F542" s="221"/>
    </row>
    <row r="543" hidden="1">
      <c r="A543" s="221"/>
      <c r="D543" s="103"/>
      <c r="E543" s="74"/>
      <c r="F543" s="221"/>
    </row>
    <row r="544" hidden="1">
      <c r="A544" s="221"/>
      <c r="D544" s="103"/>
      <c r="E544" s="74"/>
      <c r="F544" s="221"/>
    </row>
    <row r="545" hidden="1">
      <c r="A545" s="221"/>
      <c r="D545" s="103"/>
      <c r="E545" s="74"/>
      <c r="F545" s="221"/>
    </row>
    <row r="546" hidden="1">
      <c r="A546" s="221"/>
      <c r="D546" s="103"/>
      <c r="E546" s="74"/>
      <c r="F546" s="221"/>
    </row>
    <row r="547" hidden="1">
      <c r="A547" s="221"/>
      <c r="D547" s="103"/>
      <c r="E547" s="74"/>
      <c r="F547" s="221"/>
    </row>
    <row r="548" hidden="1">
      <c r="A548" s="221"/>
      <c r="D548" s="103"/>
      <c r="E548" s="74"/>
      <c r="F548" s="221"/>
    </row>
    <row r="549" hidden="1">
      <c r="A549" s="221"/>
      <c r="D549" s="103"/>
      <c r="E549" s="74"/>
      <c r="F549" s="221"/>
    </row>
    <row r="550" hidden="1">
      <c r="A550" s="221"/>
      <c r="D550" s="103"/>
      <c r="E550" s="74"/>
      <c r="F550" s="221"/>
    </row>
    <row r="551" hidden="1">
      <c r="A551" s="221"/>
      <c r="D551" s="103"/>
      <c r="E551" s="74"/>
      <c r="F551" s="221"/>
    </row>
    <row r="552" hidden="1">
      <c r="A552" s="221"/>
      <c r="D552" s="103"/>
      <c r="E552" s="74"/>
      <c r="F552" s="221"/>
    </row>
    <row r="553" hidden="1">
      <c r="A553" s="221"/>
      <c r="D553" s="103"/>
      <c r="E553" s="74"/>
      <c r="F553" s="221"/>
    </row>
    <row r="554" hidden="1">
      <c r="A554" s="221"/>
      <c r="D554" s="103"/>
      <c r="E554" s="74"/>
      <c r="F554" s="221"/>
    </row>
    <row r="555" hidden="1">
      <c r="A555" s="221"/>
      <c r="D555" s="103"/>
      <c r="E555" s="74"/>
      <c r="F555" s="221"/>
    </row>
    <row r="556" hidden="1">
      <c r="A556" s="221"/>
      <c r="D556" s="103"/>
      <c r="E556" s="74"/>
      <c r="F556" s="221"/>
    </row>
    <row r="557" hidden="1">
      <c r="A557" s="221"/>
      <c r="D557" s="103"/>
      <c r="E557" s="74"/>
      <c r="F557" s="221"/>
    </row>
    <row r="558" hidden="1">
      <c r="A558" s="221"/>
      <c r="D558" s="103"/>
      <c r="E558" s="74"/>
      <c r="F558" s="221"/>
    </row>
    <row r="559" hidden="1">
      <c r="A559" s="221"/>
      <c r="D559" s="103"/>
      <c r="E559" s="74"/>
      <c r="F559" s="221"/>
    </row>
    <row r="560" hidden="1">
      <c r="A560" s="221"/>
      <c r="D560" s="103"/>
      <c r="E560" s="74"/>
      <c r="F560" s="221"/>
    </row>
    <row r="561" hidden="1">
      <c r="A561" s="221"/>
      <c r="D561" s="103"/>
      <c r="E561" s="74"/>
      <c r="F561" s="221"/>
    </row>
    <row r="562" hidden="1">
      <c r="A562" s="221"/>
      <c r="D562" s="103"/>
      <c r="E562" s="74"/>
      <c r="F562" s="221"/>
    </row>
    <row r="563" hidden="1">
      <c r="A563" s="221"/>
      <c r="D563" s="103"/>
      <c r="E563" s="74"/>
      <c r="F563" s="221"/>
    </row>
    <row r="564" hidden="1">
      <c r="A564" s="221"/>
      <c r="D564" s="103"/>
      <c r="E564" s="74"/>
      <c r="F564" s="221"/>
    </row>
    <row r="565" hidden="1">
      <c r="A565" s="221"/>
      <c r="D565" s="103"/>
      <c r="E565" s="74"/>
      <c r="F565" s="221"/>
    </row>
    <row r="566" hidden="1">
      <c r="A566" s="221"/>
      <c r="D566" s="103"/>
      <c r="E566" s="74"/>
      <c r="F566" s="221"/>
    </row>
    <row r="567" hidden="1">
      <c r="A567" s="221"/>
      <c r="D567" s="103"/>
      <c r="E567" s="74"/>
      <c r="F567" s="221"/>
    </row>
    <row r="568" hidden="1">
      <c r="A568" s="221"/>
      <c r="D568" s="103"/>
      <c r="E568" s="74"/>
      <c r="F568" s="221"/>
    </row>
    <row r="569" hidden="1">
      <c r="A569" s="221"/>
      <c r="D569" s="103"/>
      <c r="E569" s="74"/>
      <c r="F569" s="221"/>
    </row>
    <row r="570" hidden="1">
      <c r="A570" s="221"/>
      <c r="D570" s="103"/>
      <c r="E570" s="74"/>
      <c r="F570" s="221"/>
    </row>
    <row r="571" hidden="1">
      <c r="A571" s="221"/>
      <c r="D571" s="103"/>
      <c r="E571" s="74"/>
      <c r="F571" s="221"/>
    </row>
    <row r="572" hidden="1">
      <c r="A572" s="221"/>
      <c r="D572" s="103"/>
      <c r="E572" s="74"/>
      <c r="F572" s="221"/>
    </row>
    <row r="573" hidden="1">
      <c r="A573" s="221"/>
      <c r="D573" s="103"/>
      <c r="E573" s="74"/>
      <c r="F573" s="221"/>
    </row>
    <row r="574" hidden="1">
      <c r="A574" s="221"/>
      <c r="D574" s="103"/>
      <c r="E574" s="74"/>
      <c r="F574" s="221"/>
    </row>
    <row r="575" hidden="1">
      <c r="A575" s="221"/>
      <c r="D575" s="103"/>
      <c r="E575" s="74"/>
      <c r="F575" s="221"/>
    </row>
    <row r="576" hidden="1">
      <c r="A576" s="221"/>
      <c r="D576" s="103"/>
      <c r="E576" s="74"/>
      <c r="F576" s="221"/>
    </row>
    <row r="577" hidden="1">
      <c r="A577" s="221"/>
      <c r="D577" s="103"/>
      <c r="E577" s="74"/>
      <c r="F577" s="221"/>
    </row>
    <row r="578" hidden="1">
      <c r="A578" s="221"/>
      <c r="D578" s="103"/>
      <c r="E578" s="74"/>
      <c r="F578" s="221"/>
    </row>
    <row r="579" hidden="1">
      <c r="A579" s="221"/>
      <c r="D579" s="103"/>
      <c r="E579" s="74"/>
      <c r="F579" s="221"/>
    </row>
    <row r="580" hidden="1">
      <c r="A580" s="221"/>
      <c r="D580" s="103"/>
      <c r="E580" s="74"/>
      <c r="F580" s="221"/>
    </row>
    <row r="581" hidden="1">
      <c r="A581" s="221"/>
      <c r="D581" s="103"/>
      <c r="E581" s="74"/>
      <c r="F581" s="221"/>
    </row>
    <row r="582" hidden="1">
      <c r="A582" s="221"/>
      <c r="D582" s="103"/>
      <c r="E582" s="74"/>
      <c r="F582" s="221"/>
    </row>
    <row r="583" hidden="1">
      <c r="A583" s="221"/>
      <c r="D583" s="103"/>
      <c r="E583" s="74"/>
      <c r="F583" s="221"/>
    </row>
    <row r="584" hidden="1">
      <c r="A584" s="221"/>
      <c r="D584" s="103"/>
      <c r="E584" s="74"/>
      <c r="F584" s="221"/>
    </row>
    <row r="585" hidden="1">
      <c r="A585" s="221"/>
      <c r="D585" s="103"/>
      <c r="E585" s="74"/>
      <c r="F585" s="221"/>
    </row>
    <row r="586" hidden="1">
      <c r="A586" s="221"/>
      <c r="D586" s="103"/>
      <c r="E586" s="74"/>
      <c r="F586" s="221"/>
    </row>
    <row r="587" hidden="1">
      <c r="A587" s="221"/>
      <c r="D587" s="103"/>
      <c r="E587" s="74"/>
      <c r="F587" s="221"/>
    </row>
    <row r="588" hidden="1">
      <c r="A588" s="221"/>
      <c r="D588" s="103"/>
      <c r="E588" s="74"/>
      <c r="F588" s="221"/>
    </row>
    <row r="589" hidden="1">
      <c r="A589" s="221"/>
      <c r="D589" s="103"/>
      <c r="E589" s="74"/>
      <c r="F589" s="221"/>
    </row>
    <row r="590" hidden="1">
      <c r="A590" s="221"/>
      <c r="D590" s="103"/>
      <c r="E590" s="74"/>
      <c r="F590" s="221"/>
    </row>
    <row r="591" hidden="1">
      <c r="A591" s="221"/>
      <c r="D591" s="103"/>
      <c r="E591" s="74"/>
      <c r="F591" s="221"/>
    </row>
    <row r="592" hidden="1">
      <c r="A592" s="221"/>
      <c r="D592" s="103"/>
      <c r="E592" s="74"/>
      <c r="F592" s="221"/>
    </row>
    <row r="593" hidden="1">
      <c r="A593" s="221"/>
      <c r="D593" s="103"/>
      <c r="E593" s="74"/>
      <c r="F593" s="221"/>
    </row>
    <row r="594" hidden="1">
      <c r="A594" s="221"/>
      <c r="D594" s="103"/>
      <c r="E594" s="74"/>
      <c r="F594" s="221"/>
    </row>
    <row r="595" hidden="1">
      <c r="A595" s="221"/>
      <c r="D595" s="103"/>
      <c r="E595" s="74"/>
      <c r="F595" s="221"/>
    </row>
    <row r="596" hidden="1">
      <c r="A596" s="221"/>
      <c r="D596" s="103"/>
      <c r="E596" s="74"/>
      <c r="F596" s="221"/>
    </row>
    <row r="597" hidden="1">
      <c r="A597" s="221"/>
      <c r="D597" s="103"/>
      <c r="E597" s="74"/>
      <c r="F597" s="221"/>
    </row>
    <row r="598" hidden="1">
      <c r="A598" s="221"/>
      <c r="D598" s="103"/>
      <c r="E598" s="74"/>
      <c r="F598" s="221"/>
    </row>
    <row r="599" hidden="1">
      <c r="A599" s="221"/>
      <c r="D599" s="103"/>
      <c r="E599" s="74"/>
      <c r="F599" s="221"/>
    </row>
    <row r="600" hidden="1">
      <c r="A600" s="221"/>
      <c r="D600" s="103"/>
      <c r="E600" s="74"/>
      <c r="F600" s="221"/>
    </row>
    <row r="601" hidden="1">
      <c r="A601" s="221"/>
      <c r="D601" s="103"/>
      <c r="E601" s="74"/>
      <c r="F601" s="221"/>
    </row>
    <row r="602" hidden="1">
      <c r="A602" s="221"/>
      <c r="D602" s="103"/>
      <c r="E602" s="74"/>
      <c r="F602" s="221"/>
    </row>
    <row r="603" hidden="1">
      <c r="A603" s="221"/>
      <c r="D603" s="103"/>
      <c r="E603" s="74"/>
      <c r="F603" s="221"/>
    </row>
    <row r="604" hidden="1">
      <c r="A604" s="221"/>
      <c r="D604" s="103"/>
      <c r="E604" s="74"/>
      <c r="F604" s="221"/>
    </row>
    <row r="605" hidden="1">
      <c r="A605" s="221"/>
      <c r="D605" s="103"/>
      <c r="E605" s="74"/>
      <c r="F605" s="221"/>
    </row>
    <row r="606" hidden="1">
      <c r="A606" s="221"/>
      <c r="D606" s="103"/>
      <c r="E606" s="74"/>
      <c r="F606" s="221"/>
    </row>
    <row r="607" hidden="1">
      <c r="A607" s="221"/>
      <c r="D607" s="103"/>
      <c r="E607" s="74"/>
      <c r="F607" s="221"/>
    </row>
    <row r="608" hidden="1">
      <c r="A608" s="221"/>
      <c r="D608" s="103"/>
      <c r="E608" s="74"/>
      <c r="F608" s="221"/>
    </row>
    <row r="609" hidden="1">
      <c r="A609" s="221"/>
      <c r="D609" s="103"/>
      <c r="E609" s="74"/>
      <c r="F609" s="221"/>
    </row>
    <row r="610" hidden="1">
      <c r="A610" s="221"/>
      <c r="D610" s="103"/>
      <c r="E610" s="74"/>
      <c r="F610" s="221"/>
    </row>
    <row r="611" hidden="1">
      <c r="A611" s="221"/>
      <c r="D611" s="103"/>
      <c r="E611" s="74"/>
      <c r="F611" s="221"/>
    </row>
    <row r="612" hidden="1">
      <c r="A612" s="221"/>
      <c r="D612" s="103"/>
      <c r="E612" s="74"/>
      <c r="F612" s="221"/>
    </row>
    <row r="613" hidden="1">
      <c r="A613" s="221"/>
      <c r="D613" s="103"/>
      <c r="E613" s="74"/>
      <c r="F613" s="221"/>
    </row>
    <row r="614" hidden="1">
      <c r="A614" s="221"/>
      <c r="D614" s="103"/>
      <c r="E614" s="74"/>
      <c r="F614" s="221"/>
    </row>
    <row r="615" hidden="1">
      <c r="A615" s="221"/>
      <c r="D615" s="103"/>
      <c r="E615" s="74"/>
      <c r="F615" s="221"/>
    </row>
    <row r="616" hidden="1">
      <c r="A616" s="221"/>
      <c r="D616" s="103"/>
      <c r="E616" s="74"/>
      <c r="F616" s="221"/>
    </row>
    <row r="617" hidden="1">
      <c r="A617" s="221"/>
      <c r="D617" s="103"/>
      <c r="E617" s="74"/>
      <c r="F617" s="221"/>
    </row>
    <row r="618" hidden="1">
      <c r="A618" s="221"/>
      <c r="D618" s="103"/>
      <c r="E618" s="74"/>
      <c r="F618" s="221"/>
    </row>
    <row r="619" hidden="1">
      <c r="A619" s="221"/>
      <c r="D619" s="103"/>
      <c r="E619" s="74"/>
      <c r="F619" s="221"/>
    </row>
    <row r="620" hidden="1">
      <c r="A620" s="221"/>
      <c r="D620" s="103"/>
      <c r="E620" s="74"/>
      <c r="F620" s="221"/>
    </row>
    <row r="621" hidden="1">
      <c r="A621" s="221"/>
      <c r="D621" s="103"/>
      <c r="E621" s="74"/>
      <c r="F621" s="221"/>
    </row>
    <row r="622" hidden="1">
      <c r="A622" s="221"/>
      <c r="D622" s="103"/>
      <c r="E622" s="74"/>
      <c r="F622" s="221"/>
    </row>
    <row r="623" hidden="1">
      <c r="A623" s="221"/>
      <c r="D623" s="103"/>
      <c r="E623" s="74"/>
      <c r="F623" s="221"/>
    </row>
    <row r="624" hidden="1">
      <c r="A624" s="221"/>
      <c r="D624" s="103"/>
      <c r="E624" s="74"/>
      <c r="F624" s="221"/>
    </row>
    <row r="625" hidden="1">
      <c r="A625" s="221"/>
      <c r="D625" s="103"/>
      <c r="E625" s="74"/>
      <c r="F625" s="221"/>
    </row>
    <row r="626" hidden="1">
      <c r="A626" s="221"/>
      <c r="D626" s="103"/>
      <c r="E626" s="74"/>
      <c r="F626" s="221"/>
    </row>
    <row r="627" hidden="1">
      <c r="A627" s="221"/>
      <c r="D627" s="103"/>
      <c r="E627" s="74"/>
      <c r="F627" s="221"/>
    </row>
    <row r="628" hidden="1">
      <c r="A628" s="221"/>
      <c r="D628" s="103"/>
      <c r="E628" s="74"/>
      <c r="F628" s="221"/>
    </row>
    <row r="629" hidden="1">
      <c r="A629" s="221"/>
      <c r="D629" s="103"/>
      <c r="E629" s="74"/>
      <c r="F629" s="221"/>
    </row>
    <row r="630" hidden="1">
      <c r="A630" s="221"/>
      <c r="D630" s="103"/>
      <c r="E630" s="74"/>
      <c r="F630" s="221"/>
    </row>
    <row r="631" hidden="1">
      <c r="A631" s="221"/>
      <c r="D631" s="103"/>
      <c r="E631" s="74"/>
      <c r="F631" s="221"/>
    </row>
    <row r="632" hidden="1">
      <c r="A632" s="221"/>
      <c r="D632" s="103"/>
      <c r="E632" s="74"/>
      <c r="F632" s="221"/>
    </row>
    <row r="633" hidden="1">
      <c r="A633" s="221"/>
      <c r="D633" s="103"/>
      <c r="E633" s="74"/>
      <c r="F633" s="221"/>
    </row>
    <row r="634" hidden="1">
      <c r="A634" s="221"/>
      <c r="D634" s="103"/>
      <c r="E634" s="74"/>
      <c r="F634" s="221"/>
    </row>
    <row r="635" hidden="1">
      <c r="A635" s="221"/>
      <c r="D635" s="103"/>
      <c r="E635" s="74"/>
      <c r="F635" s="221"/>
    </row>
    <row r="636" hidden="1">
      <c r="A636" s="221"/>
      <c r="D636" s="103"/>
      <c r="E636" s="74"/>
      <c r="F636" s="221"/>
    </row>
    <row r="637" hidden="1">
      <c r="A637" s="221"/>
      <c r="D637" s="103"/>
      <c r="E637" s="74"/>
      <c r="F637" s="221"/>
    </row>
    <row r="638" hidden="1">
      <c r="A638" s="221"/>
      <c r="D638" s="103"/>
      <c r="E638" s="74"/>
      <c r="F638" s="221"/>
    </row>
    <row r="639" hidden="1">
      <c r="A639" s="221"/>
      <c r="D639" s="103"/>
      <c r="E639" s="74"/>
      <c r="F639" s="221"/>
    </row>
    <row r="640" hidden="1">
      <c r="A640" s="221"/>
      <c r="D640" s="103"/>
      <c r="E640" s="74"/>
      <c r="F640" s="221"/>
    </row>
    <row r="641" hidden="1">
      <c r="A641" s="221"/>
      <c r="D641" s="103"/>
      <c r="E641" s="74"/>
      <c r="F641" s="221"/>
    </row>
    <row r="642" hidden="1">
      <c r="A642" s="221"/>
      <c r="D642" s="103"/>
      <c r="E642" s="74"/>
      <c r="F642" s="221"/>
    </row>
    <row r="643" hidden="1">
      <c r="A643" s="221"/>
      <c r="D643" s="103"/>
      <c r="E643" s="74"/>
      <c r="F643" s="221"/>
    </row>
    <row r="644" hidden="1">
      <c r="A644" s="221"/>
      <c r="D644" s="103"/>
      <c r="E644" s="74"/>
      <c r="F644" s="221"/>
    </row>
    <row r="645" hidden="1">
      <c r="A645" s="221"/>
      <c r="D645" s="103"/>
      <c r="E645" s="74"/>
      <c r="F645" s="221"/>
    </row>
    <row r="646" hidden="1">
      <c r="A646" s="221"/>
      <c r="D646" s="103"/>
      <c r="E646" s="74"/>
      <c r="F646" s="221"/>
    </row>
    <row r="647" hidden="1">
      <c r="A647" s="221"/>
      <c r="D647" s="103"/>
      <c r="E647" s="74"/>
      <c r="F647" s="221"/>
    </row>
    <row r="648" hidden="1">
      <c r="A648" s="221"/>
      <c r="D648" s="103"/>
      <c r="E648" s="74"/>
      <c r="F648" s="221"/>
    </row>
    <row r="649" hidden="1">
      <c r="A649" s="221"/>
      <c r="D649" s="103"/>
      <c r="E649" s="74"/>
      <c r="F649" s="221"/>
    </row>
    <row r="650" hidden="1">
      <c r="A650" s="221"/>
      <c r="D650" s="103"/>
      <c r="E650" s="74"/>
      <c r="F650" s="221"/>
    </row>
    <row r="651" hidden="1">
      <c r="A651" s="221"/>
      <c r="D651" s="103"/>
      <c r="E651" s="74"/>
      <c r="F651" s="221"/>
    </row>
    <row r="652" hidden="1">
      <c r="A652" s="221"/>
      <c r="D652" s="103"/>
      <c r="E652" s="74"/>
      <c r="F652" s="221"/>
    </row>
    <row r="653" hidden="1">
      <c r="A653" s="221"/>
      <c r="D653" s="103"/>
      <c r="E653" s="74"/>
      <c r="F653" s="221"/>
    </row>
    <row r="654" hidden="1">
      <c r="A654" s="221"/>
      <c r="D654" s="103"/>
      <c r="E654" s="74"/>
      <c r="F654" s="221"/>
    </row>
    <row r="655" hidden="1">
      <c r="A655" s="221"/>
      <c r="D655" s="103"/>
      <c r="E655" s="74"/>
      <c r="F655" s="221"/>
    </row>
    <row r="656" hidden="1">
      <c r="A656" s="221"/>
      <c r="D656" s="103"/>
      <c r="E656" s="74"/>
      <c r="F656" s="221"/>
    </row>
    <row r="657" hidden="1">
      <c r="A657" s="221"/>
      <c r="D657" s="103"/>
      <c r="E657" s="74"/>
      <c r="F657" s="221"/>
    </row>
    <row r="658" hidden="1">
      <c r="A658" s="221"/>
      <c r="D658" s="103"/>
      <c r="E658" s="74"/>
      <c r="F658" s="221"/>
    </row>
    <row r="659" hidden="1">
      <c r="A659" s="221"/>
      <c r="D659" s="103"/>
      <c r="E659" s="74"/>
      <c r="F659" s="221"/>
    </row>
    <row r="660" hidden="1">
      <c r="A660" s="221"/>
      <c r="D660" s="103"/>
      <c r="E660" s="74"/>
      <c r="F660" s="221"/>
    </row>
    <row r="661" hidden="1">
      <c r="A661" s="221"/>
      <c r="D661" s="103"/>
      <c r="E661" s="74"/>
      <c r="F661" s="221"/>
    </row>
    <row r="662" hidden="1">
      <c r="A662" s="221"/>
      <c r="D662" s="103"/>
      <c r="E662" s="74"/>
      <c r="F662" s="221"/>
    </row>
    <row r="663" hidden="1">
      <c r="A663" s="221"/>
      <c r="D663" s="103"/>
      <c r="E663" s="74"/>
      <c r="F663" s="221"/>
    </row>
    <row r="664" hidden="1">
      <c r="A664" s="221"/>
      <c r="D664" s="103"/>
      <c r="E664" s="74"/>
      <c r="F664" s="221"/>
    </row>
    <row r="665" hidden="1">
      <c r="A665" s="221"/>
      <c r="D665" s="103"/>
      <c r="E665" s="74"/>
      <c r="F665" s="221"/>
    </row>
    <row r="666" hidden="1">
      <c r="A666" s="221"/>
      <c r="D666" s="103"/>
      <c r="E666" s="74"/>
      <c r="F666" s="221"/>
    </row>
    <row r="667" hidden="1">
      <c r="A667" s="221"/>
      <c r="D667" s="103"/>
      <c r="E667" s="74"/>
      <c r="F667" s="221"/>
    </row>
    <row r="668" hidden="1">
      <c r="A668" s="221"/>
      <c r="D668" s="103"/>
      <c r="E668" s="74"/>
      <c r="F668" s="221"/>
    </row>
    <row r="669" hidden="1">
      <c r="A669" s="221"/>
      <c r="D669" s="103"/>
      <c r="E669" s="74"/>
      <c r="F669" s="221"/>
    </row>
    <row r="670" hidden="1">
      <c r="A670" s="221"/>
      <c r="D670" s="103"/>
      <c r="E670" s="74"/>
      <c r="F670" s="221"/>
    </row>
    <row r="671" hidden="1">
      <c r="A671" s="221"/>
      <c r="D671" s="103"/>
      <c r="E671" s="74"/>
      <c r="F671" s="221"/>
    </row>
    <row r="672" hidden="1">
      <c r="A672" s="221"/>
      <c r="D672" s="103"/>
      <c r="E672" s="74"/>
      <c r="F672" s="221"/>
    </row>
    <row r="673" hidden="1">
      <c r="A673" s="221"/>
      <c r="D673" s="103"/>
      <c r="E673" s="74"/>
      <c r="F673" s="221"/>
    </row>
    <row r="674" hidden="1">
      <c r="A674" s="221"/>
      <c r="D674" s="103"/>
      <c r="E674" s="74"/>
      <c r="F674" s="221"/>
    </row>
    <row r="675" hidden="1">
      <c r="A675" s="221"/>
      <c r="D675" s="103"/>
      <c r="E675" s="74"/>
      <c r="F675" s="221"/>
    </row>
    <row r="676" hidden="1">
      <c r="A676" s="221"/>
      <c r="D676" s="103"/>
      <c r="E676" s="74"/>
      <c r="F676" s="221"/>
    </row>
    <row r="677" hidden="1">
      <c r="A677" s="221"/>
      <c r="D677" s="103"/>
      <c r="E677" s="74"/>
      <c r="F677" s="221"/>
    </row>
    <row r="678" hidden="1">
      <c r="A678" s="221"/>
      <c r="D678" s="103"/>
      <c r="E678" s="74"/>
      <c r="F678" s="221"/>
    </row>
    <row r="679" hidden="1">
      <c r="A679" s="221"/>
      <c r="D679" s="103"/>
      <c r="E679" s="74"/>
      <c r="F679" s="221"/>
    </row>
    <row r="680" hidden="1">
      <c r="A680" s="221"/>
      <c r="D680" s="103"/>
      <c r="E680" s="74"/>
      <c r="F680" s="221"/>
    </row>
    <row r="681" hidden="1">
      <c r="A681" s="221"/>
      <c r="D681" s="103"/>
      <c r="E681" s="74"/>
      <c r="F681" s="221"/>
    </row>
    <row r="682" hidden="1">
      <c r="A682" s="221"/>
      <c r="D682" s="103"/>
      <c r="E682" s="74"/>
      <c r="F682" s="221"/>
    </row>
    <row r="683" hidden="1">
      <c r="A683" s="221"/>
      <c r="D683" s="103"/>
      <c r="E683" s="74"/>
      <c r="F683" s="221"/>
    </row>
    <row r="684" hidden="1">
      <c r="A684" s="221"/>
      <c r="D684" s="103"/>
      <c r="E684" s="74"/>
      <c r="F684" s="221"/>
    </row>
    <row r="685" hidden="1">
      <c r="A685" s="221"/>
      <c r="D685" s="103"/>
      <c r="E685" s="74"/>
      <c r="F685" s="221"/>
    </row>
    <row r="686" hidden="1">
      <c r="A686" s="221"/>
      <c r="D686" s="103"/>
      <c r="E686" s="74"/>
      <c r="F686" s="221"/>
    </row>
    <row r="687" hidden="1">
      <c r="A687" s="221"/>
      <c r="D687" s="103"/>
      <c r="E687" s="74"/>
      <c r="F687" s="221"/>
    </row>
    <row r="688" hidden="1">
      <c r="A688" s="221"/>
      <c r="D688" s="103"/>
      <c r="E688" s="74"/>
      <c r="F688" s="221"/>
    </row>
    <row r="689" hidden="1">
      <c r="A689" s="221"/>
      <c r="D689" s="103"/>
      <c r="E689" s="74"/>
      <c r="F689" s="221"/>
    </row>
    <row r="690" hidden="1">
      <c r="A690" s="221"/>
      <c r="D690" s="103"/>
      <c r="E690" s="74"/>
      <c r="F690" s="221"/>
    </row>
    <row r="691" hidden="1">
      <c r="A691" s="221"/>
      <c r="D691" s="103"/>
      <c r="E691" s="74"/>
      <c r="F691" s="221"/>
    </row>
    <row r="692" hidden="1">
      <c r="A692" s="221"/>
      <c r="D692" s="103"/>
      <c r="E692" s="74"/>
      <c r="F692" s="221"/>
    </row>
    <row r="693" hidden="1">
      <c r="A693" s="221"/>
      <c r="D693" s="103"/>
      <c r="E693" s="74"/>
      <c r="F693" s="221"/>
    </row>
    <row r="694" hidden="1">
      <c r="A694" s="221"/>
      <c r="D694" s="103"/>
      <c r="E694" s="74"/>
      <c r="F694" s="221"/>
    </row>
    <row r="695" hidden="1">
      <c r="A695" s="221"/>
      <c r="D695" s="103"/>
      <c r="E695" s="74"/>
      <c r="F695" s="221"/>
    </row>
    <row r="696" hidden="1">
      <c r="A696" s="221"/>
      <c r="D696" s="103"/>
      <c r="E696" s="74"/>
      <c r="F696" s="221"/>
    </row>
    <row r="697" hidden="1">
      <c r="A697" s="221"/>
      <c r="D697" s="103"/>
      <c r="E697" s="74"/>
      <c r="F697" s="221"/>
    </row>
    <row r="698" hidden="1">
      <c r="A698" s="221"/>
      <c r="D698" s="103"/>
      <c r="E698" s="74"/>
      <c r="F698" s="221"/>
    </row>
    <row r="699" hidden="1">
      <c r="A699" s="221"/>
      <c r="D699" s="103"/>
      <c r="E699" s="74"/>
      <c r="F699" s="221"/>
    </row>
    <row r="700" hidden="1">
      <c r="A700" s="221"/>
      <c r="D700" s="103"/>
      <c r="E700" s="74"/>
      <c r="F700" s="221"/>
    </row>
    <row r="701" hidden="1">
      <c r="A701" s="221"/>
      <c r="D701" s="103"/>
      <c r="E701" s="74"/>
      <c r="F701" s="221"/>
    </row>
    <row r="702" hidden="1">
      <c r="A702" s="221"/>
      <c r="D702" s="103"/>
      <c r="E702" s="74"/>
      <c r="F702" s="221"/>
    </row>
    <row r="703" hidden="1">
      <c r="A703" s="221"/>
      <c r="D703" s="103"/>
      <c r="E703" s="74"/>
      <c r="F703" s="221"/>
    </row>
    <row r="704" hidden="1">
      <c r="A704" s="221"/>
      <c r="D704" s="103"/>
      <c r="E704" s="74"/>
      <c r="F704" s="221"/>
    </row>
    <row r="705" hidden="1">
      <c r="A705" s="221"/>
      <c r="D705" s="103"/>
      <c r="E705" s="74"/>
      <c r="F705" s="221"/>
    </row>
    <row r="706" hidden="1">
      <c r="A706" s="221"/>
      <c r="D706" s="103"/>
      <c r="E706" s="74"/>
      <c r="F706" s="221"/>
    </row>
    <row r="707" hidden="1">
      <c r="A707" s="221"/>
      <c r="D707" s="103"/>
      <c r="E707" s="74"/>
      <c r="F707" s="221"/>
    </row>
    <row r="708" hidden="1">
      <c r="A708" s="221"/>
      <c r="D708" s="103"/>
      <c r="E708" s="74"/>
      <c r="F708" s="221"/>
    </row>
    <row r="709" hidden="1">
      <c r="A709" s="221"/>
      <c r="D709" s="103"/>
      <c r="E709" s="74"/>
      <c r="F709" s="221"/>
    </row>
    <row r="710" hidden="1">
      <c r="A710" s="221"/>
      <c r="D710" s="103"/>
      <c r="E710" s="74"/>
      <c r="F710" s="221"/>
    </row>
    <row r="711" hidden="1">
      <c r="A711" s="221"/>
      <c r="D711" s="103"/>
      <c r="E711" s="74"/>
      <c r="F711" s="221"/>
    </row>
    <row r="712" hidden="1">
      <c r="A712" s="221"/>
      <c r="D712" s="103"/>
      <c r="E712" s="74"/>
      <c r="F712" s="221"/>
    </row>
    <row r="713" hidden="1">
      <c r="A713" s="221"/>
      <c r="D713" s="103"/>
      <c r="E713" s="74"/>
      <c r="F713" s="221"/>
    </row>
    <row r="714" hidden="1">
      <c r="A714" s="221"/>
      <c r="D714" s="103"/>
      <c r="E714" s="74"/>
      <c r="F714" s="221"/>
    </row>
    <row r="715" hidden="1">
      <c r="A715" s="221"/>
      <c r="D715" s="103"/>
      <c r="E715" s="74"/>
      <c r="F715" s="221"/>
    </row>
    <row r="716" hidden="1">
      <c r="A716" s="221"/>
      <c r="D716" s="103"/>
      <c r="E716" s="74"/>
      <c r="F716" s="221"/>
    </row>
    <row r="717" hidden="1">
      <c r="A717" s="221"/>
      <c r="D717" s="103"/>
      <c r="E717" s="74"/>
      <c r="F717" s="221"/>
    </row>
    <row r="718" hidden="1">
      <c r="A718" s="221"/>
      <c r="D718" s="103"/>
      <c r="E718" s="74"/>
      <c r="F718" s="221"/>
    </row>
    <row r="719" hidden="1">
      <c r="A719" s="221"/>
      <c r="D719" s="103"/>
      <c r="E719" s="74"/>
      <c r="F719" s="221"/>
    </row>
    <row r="720" hidden="1">
      <c r="A720" s="221"/>
      <c r="D720" s="103"/>
      <c r="E720" s="74"/>
      <c r="F720" s="221"/>
    </row>
    <row r="721" hidden="1">
      <c r="A721" s="221"/>
      <c r="D721" s="103"/>
      <c r="E721" s="74"/>
      <c r="F721" s="221"/>
    </row>
    <row r="722" hidden="1">
      <c r="A722" s="221"/>
      <c r="D722" s="103"/>
      <c r="E722" s="74"/>
      <c r="F722" s="221"/>
    </row>
    <row r="723" hidden="1">
      <c r="A723" s="221"/>
      <c r="D723" s="103"/>
      <c r="E723" s="74"/>
      <c r="F723" s="221"/>
    </row>
    <row r="724" hidden="1">
      <c r="A724" s="221"/>
      <c r="D724" s="103"/>
      <c r="E724" s="74"/>
      <c r="F724" s="221"/>
    </row>
    <row r="725" hidden="1">
      <c r="A725" s="221"/>
      <c r="D725" s="103"/>
      <c r="E725" s="74"/>
      <c r="F725" s="221"/>
    </row>
    <row r="726" hidden="1">
      <c r="A726" s="221"/>
      <c r="D726" s="103"/>
      <c r="E726" s="74"/>
      <c r="F726" s="221"/>
    </row>
    <row r="727" hidden="1">
      <c r="A727" s="221"/>
      <c r="D727" s="103"/>
      <c r="E727" s="74"/>
      <c r="F727" s="221"/>
    </row>
    <row r="728" hidden="1">
      <c r="A728" s="221"/>
      <c r="D728" s="103"/>
      <c r="E728" s="74"/>
      <c r="F728" s="221"/>
    </row>
    <row r="729" hidden="1">
      <c r="A729" s="221"/>
      <c r="D729" s="103"/>
      <c r="E729" s="74"/>
      <c r="F729" s="221"/>
    </row>
    <row r="730" hidden="1">
      <c r="A730" s="221"/>
      <c r="D730" s="103"/>
      <c r="E730" s="74"/>
      <c r="F730" s="221"/>
    </row>
    <row r="731" hidden="1">
      <c r="A731" s="221"/>
      <c r="D731" s="103"/>
      <c r="E731" s="74"/>
      <c r="F731" s="221"/>
    </row>
    <row r="732" hidden="1">
      <c r="A732" s="221"/>
      <c r="D732" s="103"/>
      <c r="E732" s="74"/>
      <c r="F732" s="221"/>
    </row>
    <row r="733" hidden="1">
      <c r="A733" s="221"/>
      <c r="D733" s="103"/>
      <c r="E733" s="74"/>
      <c r="F733" s="221"/>
    </row>
    <row r="734" hidden="1">
      <c r="A734" s="221"/>
      <c r="D734" s="103"/>
      <c r="E734" s="74"/>
      <c r="F734" s="221"/>
    </row>
    <row r="735" hidden="1">
      <c r="A735" s="221"/>
      <c r="D735" s="103"/>
      <c r="E735" s="74"/>
      <c r="F735" s="221"/>
    </row>
    <row r="736" hidden="1">
      <c r="A736" s="221"/>
      <c r="D736" s="103"/>
      <c r="E736" s="74"/>
      <c r="F736" s="221"/>
    </row>
    <row r="737" hidden="1">
      <c r="A737" s="221"/>
      <c r="D737" s="103"/>
      <c r="E737" s="74"/>
      <c r="F737" s="221"/>
    </row>
    <row r="738" hidden="1">
      <c r="A738" s="221"/>
      <c r="D738" s="103"/>
      <c r="E738" s="74"/>
      <c r="F738" s="221"/>
    </row>
    <row r="739" hidden="1">
      <c r="A739" s="221"/>
      <c r="D739" s="103"/>
      <c r="E739" s="74"/>
      <c r="F739" s="221"/>
    </row>
    <row r="740" hidden="1">
      <c r="A740" s="221"/>
      <c r="D740" s="103"/>
      <c r="E740" s="74"/>
      <c r="F740" s="221"/>
    </row>
    <row r="741" hidden="1">
      <c r="A741" s="221"/>
      <c r="D741" s="103"/>
      <c r="E741" s="74"/>
      <c r="F741" s="221"/>
    </row>
    <row r="742" hidden="1">
      <c r="A742" s="221"/>
      <c r="D742" s="103"/>
      <c r="E742" s="74"/>
      <c r="F742" s="221"/>
    </row>
    <row r="743" hidden="1">
      <c r="A743" s="221"/>
      <c r="D743" s="103"/>
      <c r="E743" s="74"/>
      <c r="F743" s="221"/>
    </row>
    <row r="744" hidden="1">
      <c r="A744" s="221"/>
      <c r="D744" s="103"/>
      <c r="E744" s="74"/>
      <c r="F744" s="221"/>
    </row>
    <row r="745" hidden="1">
      <c r="A745" s="221"/>
      <c r="D745" s="103"/>
      <c r="E745" s="74"/>
      <c r="F745" s="221"/>
    </row>
    <row r="746" hidden="1">
      <c r="A746" s="221"/>
      <c r="D746" s="103"/>
      <c r="E746" s="74"/>
      <c r="F746" s="221"/>
    </row>
    <row r="747" hidden="1">
      <c r="A747" s="221"/>
      <c r="D747" s="103"/>
      <c r="E747" s="74"/>
      <c r="F747" s="221"/>
    </row>
    <row r="748" hidden="1">
      <c r="A748" s="221"/>
      <c r="D748" s="103"/>
      <c r="E748" s="74"/>
      <c r="F748" s="221"/>
    </row>
    <row r="749" hidden="1">
      <c r="A749" s="221"/>
      <c r="D749" s="103"/>
      <c r="E749" s="74"/>
      <c r="F749" s="221"/>
    </row>
    <row r="750" hidden="1">
      <c r="A750" s="221"/>
      <c r="D750" s="103"/>
      <c r="E750" s="74"/>
      <c r="F750" s="221"/>
    </row>
    <row r="751" hidden="1">
      <c r="A751" s="221"/>
      <c r="D751" s="103"/>
      <c r="E751" s="74"/>
      <c r="F751" s="221"/>
    </row>
    <row r="752" hidden="1">
      <c r="A752" s="221"/>
      <c r="D752" s="103"/>
      <c r="E752" s="74"/>
      <c r="F752" s="221"/>
    </row>
    <row r="753" hidden="1">
      <c r="A753" s="221"/>
      <c r="D753" s="103"/>
      <c r="E753" s="74"/>
      <c r="F753" s="221"/>
    </row>
    <row r="754" hidden="1">
      <c r="A754" s="221"/>
      <c r="D754" s="103"/>
      <c r="E754" s="74"/>
      <c r="F754" s="221"/>
    </row>
    <row r="755" hidden="1">
      <c r="A755" s="221"/>
      <c r="D755" s="103"/>
      <c r="E755" s="74"/>
      <c r="F755" s="221"/>
    </row>
    <row r="756" hidden="1">
      <c r="A756" s="221"/>
      <c r="D756" s="103"/>
      <c r="E756" s="74"/>
      <c r="F756" s="221"/>
    </row>
    <row r="757" hidden="1">
      <c r="A757" s="221"/>
      <c r="D757" s="103"/>
      <c r="E757" s="74"/>
      <c r="F757" s="221"/>
    </row>
    <row r="758" hidden="1">
      <c r="A758" s="221"/>
      <c r="D758" s="103"/>
      <c r="E758" s="74"/>
      <c r="F758" s="221"/>
    </row>
    <row r="759" hidden="1">
      <c r="A759" s="221"/>
      <c r="D759" s="103"/>
      <c r="E759" s="74"/>
      <c r="F759" s="221"/>
    </row>
    <row r="760" hidden="1">
      <c r="A760" s="221"/>
      <c r="D760" s="103"/>
      <c r="E760" s="74"/>
      <c r="F760" s="221"/>
    </row>
    <row r="761" hidden="1">
      <c r="A761" s="221"/>
      <c r="D761" s="103"/>
      <c r="E761" s="74"/>
      <c r="F761" s="221"/>
    </row>
    <row r="762" hidden="1">
      <c r="A762" s="221"/>
      <c r="D762" s="103"/>
      <c r="E762" s="74"/>
      <c r="F762" s="221"/>
    </row>
    <row r="763" hidden="1">
      <c r="A763" s="221"/>
      <c r="D763" s="103"/>
      <c r="E763" s="74"/>
      <c r="F763" s="221"/>
    </row>
    <row r="764" hidden="1">
      <c r="A764" s="221"/>
      <c r="D764" s="103"/>
      <c r="E764" s="74"/>
      <c r="F764" s="221"/>
    </row>
    <row r="765" hidden="1">
      <c r="A765" s="221"/>
      <c r="D765" s="103"/>
      <c r="E765" s="74"/>
      <c r="F765" s="221"/>
    </row>
    <row r="766" hidden="1">
      <c r="A766" s="221"/>
      <c r="D766" s="103"/>
      <c r="E766" s="74"/>
      <c r="F766" s="221"/>
    </row>
    <row r="767" hidden="1">
      <c r="A767" s="221"/>
      <c r="D767" s="103"/>
      <c r="E767" s="74"/>
      <c r="F767" s="221"/>
    </row>
    <row r="768" hidden="1">
      <c r="A768" s="221"/>
      <c r="D768" s="103"/>
      <c r="E768" s="74"/>
      <c r="F768" s="221"/>
    </row>
    <row r="769" hidden="1">
      <c r="A769" s="221"/>
      <c r="D769" s="103"/>
      <c r="E769" s="74"/>
      <c r="F769" s="221"/>
    </row>
    <row r="770" hidden="1">
      <c r="A770" s="221"/>
      <c r="D770" s="103"/>
      <c r="E770" s="74"/>
      <c r="F770" s="221"/>
    </row>
    <row r="771" hidden="1">
      <c r="A771" s="221"/>
      <c r="D771" s="103"/>
      <c r="E771" s="74"/>
      <c r="F771" s="221"/>
    </row>
    <row r="772" hidden="1">
      <c r="A772" s="221"/>
      <c r="D772" s="103"/>
      <c r="E772" s="74"/>
      <c r="F772" s="221"/>
    </row>
    <row r="773" hidden="1">
      <c r="A773" s="221"/>
      <c r="D773" s="103"/>
      <c r="E773" s="74"/>
      <c r="F773" s="221"/>
    </row>
    <row r="774" hidden="1">
      <c r="A774" s="221"/>
      <c r="D774" s="103"/>
      <c r="E774" s="74"/>
      <c r="F774" s="221"/>
    </row>
    <row r="775" hidden="1">
      <c r="A775" s="221"/>
      <c r="D775" s="103"/>
      <c r="E775" s="74"/>
      <c r="F775" s="221"/>
    </row>
    <row r="776" hidden="1">
      <c r="A776" s="221"/>
      <c r="D776" s="103"/>
      <c r="E776" s="74"/>
      <c r="F776" s="221"/>
    </row>
    <row r="777" hidden="1">
      <c r="A777" s="221"/>
      <c r="D777" s="103"/>
      <c r="E777" s="74"/>
      <c r="F777" s="221"/>
    </row>
    <row r="778" hidden="1">
      <c r="A778" s="221"/>
      <c r="D778" s="103"/>
      <c r="E778" s="74"/>
      <c r="F778" s="221"/>
    </row>
    <row r="779" hidden="1">
      <c r="A779" s="221"/>
      <c r="D779" s="103"/>
      <c r="E779" s="74"/>
      <c r="F779" s="221"/>
    </row>
    <row r="780" hidden="1">
      <c r="A780" s="221"/>
      <c r="D780" s="103"/>
      <c r="E780" s="74"/>
      <c r="F780" s="221"/>
    </row>
    <row r="781" hidden="1">
      <c r="A781" s="221"/>
      <c r="D781" s="103"/>
      <c r="E781" s="74"/>
      <c r="F781" s="221"/>
    </row>
    <row r="782" hidden="1">
      <c r="A782" s="221"/>
      <c r="D782" s="103"/>
      <c r="E782" s="74"/>
      <c r="F782" s="221"/>
    </row>
    <row r="783" hidden="1">
      <c r="A783" s="221"/>
      <c r="D783" s="103"/>
      <c r="E783" s="74"/>
      <c r="F783" s="221"/>
    </row>
    <row r="784" hidden="1">
      <c r="A784" s="221"/>
      <c r="D784" s="103"/>
      <c r="E784" s="74"/>
      <c r="F784" s="221"/>
    </row>
    <row r="785" hidden="1">
      <c r="A785" s="221"/>
      <c r="D785" s="103"/>
      <c r="E785" s="74"/>
      <c r="F785" s="221"/>
    </row>
    <row r="786" hidden="1">
      <c r="A786" s="221"/>
      <c r="D786" s="103"/>
      <c r="E786" s="74"/>
      <c r="F786" s="221"/>
    </row>
    <row r="787" hidden="1">
      <c r="A787" s="221"/>
      <c r="D787" s="103"/>
      <c r="E787" s="74"/>
      <c r="F787" s="221"/>
    </row>
    <row r="788" hidden="1">
      <c r="A788" s="221"/>
      <c r="D788" s="103"/>
      <c r="E788" s="74"/>
      <c r="F788" s="221"/>
    </row>
    <row r="789" hidden="1">
      <c r="A789" s="221"/>
      <c r="D789" s="103"/>
      <c r="E789" s="74"/>
      <c r="F789" s="221"/>
    </row>
    <row r="790" hidden="1">
      <c r="A790" s="221"/>
      <c r="D790" s="103"/>
      <c r="E790" s="74"/>
      <c r="F790" s="221"/>
    </row>
    <row r="791" hidden="1">
      <c r="A791" s="221"/>
      <c r="D791" s="103"/>
      <c r="E791" s="74"/>
      <c r="F791" s="221"/>
    </row>
    <row r="792" hidden="1">
      <c r="A792" s="221"/>
      <c r="D792" s="103"/>
      <c r="E792" s="74"/>
      <c r="F792" s="221"/>
    </row>
    <row r="793" hidden="1">
      <c r="A793" s="221"/>
      <c r="D793" s="103"/>
      <c r="E793" s="74"/>
      <c r="F793" s="221"/>
    </row>
    <row r="794" hidden="1">
      <c r="A794" s="221"/>
      <c r="D794" s="103"/>
      <c r="E794" s="74"/>
      <c r="F794" s="221"/>
    </row>
    <row r="795" hidden="1">
      <c r="A795" s="221"/>
      <c r="D795" s="103"/>
      <c r="E795" s="74"/>
      <c r="F795" s="221"/>
    </row>
    <row r="796" hidden="1">
      <c r="A796" s="221"/>
      <c r="D796" s="103"/>
      <c r="E796" s="74"/>
      <c r="F796" s="221"/>
    </row>
    <row r="797" hidden="1">
      <c r="A797" s="221"/>
      <c r="D797" s="103"/>
      <c r="E797" s="74"/>
      <c r="F797" s="221"/>
    </row>
    <row r="798" hidden="1">
      <c r="A798" s="221"/>
      <c r="D798" s="103"/>
      <c r="E798" s="74"/>
      <c r="F798" s="221"/>
    </row>
    <row r="799" hidden="1">
      <c r="A799" s="221"/>
      <c r="D799" s="103"/>
      <c r="E799" s="74"/>
      <c r="F799" s="221"/>
    </row>
    <row r="800" hidden="1">
      <c r="A800" s="221"/>
      <c r="D800" s="103"/>
      <c r="E800" s="74"/>
      <c r="F800" s="221"/>
    </row>
    <row r="801" hidden="1">
      <c r="A801" s="221"/>
      <c r="D801" s="103"/>
      <c r="E801" s="74"/>
      <c r="F801" s="221"/>
    </row>
    <row r="802" hidden="1">
      <c r="A802" s="221"/>
      <c r="D802" s="103"/>
      <c r="E802" s="74"/>
      <c r="F802" s="221"/>
    </row>
    <row r="803" hidden="1">
      <c r="A803" s="221"/>
      <c r="D803" s="103"/>
      <c r="E803" s="74"/>
      <c r="F803" s="221"/>
    </row>
    <row r="804" hidden="1">
      <c r="A804" s="221"/>
      <c r="D804" s="103"/>
      <c r="E804" s="74"/>
      <c r="F804" s="221"/>
    </row>
    <row r="805" hidden="1">
      <c r="A805" s="221"/>
      <c r="D805" s="103"/>
      <c r="E805" s="74"/>
      <c r="F805" s="221"/>
    </row>
    <row r="806" hidden="1">
      <c r="A806" s="221"/>
      <c r="D806" s="103"/>
      <c r="E806" s="74"/>
      <c r="F806" s="221"/>
    </row>
    <row r="807" hidden="1">
      <c r="A807" s="221"/>
      <c r="D807" s="103"/>
      <c r="E807" s="74"/>
      <c r="F807" s="221"/>
    </row>
    <row r="808" hidden="1">
      <c r="A808" s="221"/>
      <c r="D808" s="103"/>
      <c r="E808" s="74"/>
      <c r="F808" s="221"/>
    </row>
    <row r="809" hidden="1">
      <c r="A809" s="221"/>
      <c r="D809" s="103"/>
      <c r="E809" s="74"/>
      <c r="F809" s="221"/>
    </row>
    <row r="810" hidden="1">
      <c r="A810" s="221"/>
      <c r="D810" s="103"/>
      <c r="E810" s="74"/>
      <c r="F810" s="221"/>
    </row>
    <row r="811" hidden="1">
      <c r="A811" s="221"/>
      <c r="D811" s="103"/>
      <c r="E811" s="74"/>
      <c r="F811" s="221"/>
    </row>
    <row r="812" hidden="1">
      <c r="A812" s="221"/>
      <c r="D812" s="103"/>
      <c r="E812" s="74"/>
      <c r="F812" s="221"/>
    </row>
    <row r="813" hidden="1">
      <c r="A813" s="221"/>
      <c r="D813" s="103"/>
      <c r="E813" s="74"/>
      <c r="F813" s="221"/>
    </row>
    <row r="814" hidden="1">
      <c r="A814" s="221"/>
      <c r="D814" s="103"/>
      <c r="E814" s="74"/>
      <c r="F814" s="221"/>
    </row>
    <row r="815" hidden="1">
      <c r="A815" s="221"/>
      <c r="D815" s="103"/>
      <c r="E815" s="74"/>
      <c r="F815" s="221"/>
    </row>
    <row r="816" hidden="1">
      <c r="A816" s="221"/>
      <c r="D816" s="103"/>
      <c r="E816" s="74"/>
      <c r="F816" s="221"/>
    </row>
    <row r="817" hidden="1">
      <c r="A817" s="221"/>
      <c r="D817" s="103"/>
      <c r="E817" s="74"/>
      <c r="F817" s="221"/>
    </row>
    <row r="818" hidden="1">
      <c r="A818" s="221"/>
      <c r="D818" s="103"/>
      <c r="E818" s="74"/>
      <c r="F818" s="221"/>
    </row>
    <row r="819" hidden="1">
      <c r="A819" s="221"/>
      <c r="D819" s="103"/>
      <c r="E819" s="74"/>
      <c r="F819" s="221"/>
    </row>
    <row r="820" hidden="1">
      <c r="A820" s="221"/>
      <c r="D820" s="103"/>
      <c r="E820" s="74"/>
      <c r="F820" s="221"/>
    </row>
    <row r="821" hidden="1">
      <c r="A821" s="221"/>
      <c r="D821" s="103"/>
      <c r="E821" s="74"/>
      <c r="F821" s="221"/>
    </row>
    <row r="822" hidden="1">
      <c r="A822" s="221"/>
      <c r="D822" s="103"/>
      <c r="E822" s="74"/>
      <c r="F822" s="221"/>
    </row>
    <row r="823" hidden="1">
      <c r="A823" s="221"/>
      <c r="D823" s="103"/>
      <c r="E823" s="74"/>
      <c r="F823" s="221"/>
    </row>
    <row r="824" hidden="1">
      <c r="A824" s="221"/>
      <c r="D824" s="103"/>
      <c r="E824" s="74"/>
      <c r="F824" s="221"/>
    </row>
    <row r="825" hidden="1">
      <c r="A825" s="221"/>
      <c r="D825" s="103"/>
      <c r="E825" s="74"/>
      <c r="F825" s="221"/>
    </row>
    <row r="826" hidden="1">
      <c r="A826" s="221"/>
      <c r="D826" s="103"/>
      <c r="E826" s="74"/>
      <c r="F826" s="221"/>
    </row>
    <row r="827" hidden="1">
      <c r="A827" s="221"/>
      <c r="D827" s="103"/>
      <c r="E827" s="74"/>
      <c r="F827" s="221"/>
    </row>
    <row r="828" hidden="1">
      <c r="A828" s="221"/>
      <c r="D828" s="103"/>
      <c r="E828" s="74"/>
      <c r="F828" s="221"/>
    </row>
    <row r="829" hidden="1">
      <c r="A829" s="221"/>
      <c r="D829" s="103"/>
      <c r="E829" s="74"/>
      <c r="F829" s="221"/>
    </row>
    <row r="830" hidden="1">
      <c r="A830" s="221"/>
      <c r="D830" s="103"/>
      <c r="E830" s="74"/>
      <c r="F830" s="221"/>
    </row>
    <row r="831" hidden="1">
      <c r="A831" s="221"/>
      <c r="D831" s="103"/>
      <c r="E831" s="74"/>
      <c r="F831" s="221"/>
    </row>
    <row r="832" hidden="1">
      <c r="A832" s="221"/>
      <c r="D832" s="103"/>
      <c r="E832" s="74"/>
      <c r="F832" s="221"/>
    </row>
    <row r="833" hidden="1">
      <c r="A833" s="221"/>
      <c r="D833" s="103"/>
      <c r="E833" s="74"/>
      <c r="F833" s="221"/>
    </row>
    <row r="834" hidden="1">
      <c r="A834" s="221"/>
      <c r="D834" s="103"/>
      <c r="E834" s="74"/>
      <c r="F834" s="221"/>
    </row>
    <row r="835" hidden="1">
      <c r="A835" s="221"/>
      <c r="D835" s="103"/>
      <c r="E835" s="74"/>
      <c r="F835" s="221"/>
    </row>
    <row r="836" hidden="1">
      <c r="A836" s="221"/>
      <c r="D836" s="103"/>
      <c r="E836" s="74"/>
      <c r="F836" s="221"/>
    </row>
    <row r="837" hidden="1">
      <c r="A837" s="221"/>
      <c r="D837" s="103"/>
      <c r="E837" s="74"/>
      <c r="F837" s="221"/>
    </row>
    <row r="838" hidden="1">
      <c r="A838" s="221"/>
      <c r="D838" s="103"/>
      <c r="E838" s="74"/>
      <c r="F838" s="221"/>
    </row>
    <row r="839" hidden="1">
      <c r="A839" s="221"/>
      <c r="D839" s="103"/>
      <c r="E839" s="74"/>
      <c r="F839" s="221"/>
    </row>
    <row r="840" hidden="1">
      <c r="A840" s="221"/>
      <c r="D840" s="103"/>
      <c r="E840" s="74"/>
      <c r="F840" s="221"/>
    </row>
    <row r="841" hidden="1">
      <c r="A841" s="221"/>
      <c r="D841" s="103"/>
      <c r="E841" s="74"/>
      <c r="F841" s="221"/>
    </row>
    <row r="842" hidden="1">
      <c r="A842" s="221"/>
      <c r="D842" s="103"/>
      <c r="E842" s="74"/>
      <c r="F842" s="221"/>
    </row>
    <row r="843" hidden="1">
      <c r="A843" s="221"/>
      <c r="D843" s="103"/>
      <c r="E843" s="74"/>
      <c r="F843" s="221"/>
    </row>
    <row r="844" hidden="1">
      <c r="A844" s="221"/>
      <c r="D844" s="103"/>
      <c r="E844" s="74"/>
      <c r="F844" s="221"/>
    </row>
    <row r="845" hidden="1">
      <c r="A845" s="221"/>
      <c r="D845" s="103"/>
      <c r="E845" s="74"/>
      <c r="F845" s="221"/>
    </row>
    <row r="846" hidden="1">
      <c r="A846" s="221"/>
      <c r="D846" s="103"/>
      <c r="E846" s="74"/>
      <c r="F846" s="221"/>
    </row>
    <row r="847" hidden="1">
      <c r="A847" s="221"/>
      <c r="D847" s="103"/>
      <c r="E847" s="74"/>
      <c r="F847" s="221"/>
    </row>
    <row r="848" hidden="1">
      <c r="A848" s="221"/>
      <c r="D848" s="103"/>
      <c r="E848" s="74"/>
      <c r="F848" s="221"/>
    </row>
    <row r="849" hidden="1">
      <c r="A849" s="221"/>
      <c r="D849" s="103"/>
      <c r="E849" s="74"/>
      <c r="F849" s="221"/>
    </row>
    <row r="850" hidden="1">
      <c r="A850" s="221"/>
      <c r="D850" s="103"/>
      <c r="E850" s="74"/>
      <c r="F850" s="221"/>
    </row>
    <row r="851" hidden="1">
      <c r="A851" s="221"/>
      <c r="D851" s="103"/>
      <c r="E851" s="74"/>
      <c r="F851" s="221"/>
    </row>
    <row r="852" hidden="1">
      <c r="A852" s="221"/>
      <c r="D852" s="103"/>
      <c r="E852" s="74"/>
      <c r="F852" s="221"/>
    </row>
    <row r="853" hidden="1">
      <c r="A853" s="221"/>
      <c r="D853" s="103"/>
      <c r="E853" s="74"/>
      <c r="F853" s="221"/>
    </row>
    <row r="854" hidden="1">
      <c r="A854" s="221"/>
      <c r="D854" s="103"/>
      <c r="E854" s="74"/>
      <c r="F854" s="221"/>
    </row>
    <row r="855" hidden="1">
      <c r="A855" s="221"/>
      <c r="D855" s="103"/>
      <c r="E855" s="74"/>
      <c r="F855" s="221"/>
    </row>
    <row r="856" hidden="1">
      <c r="A856" s="221"/>
      <c r="D856" s="103"/>
      <c r="E856" s="74"/>
      <c r="F856" s="221"/>
    </row>
    <row r="857" hidden="1">
      <c r="A857" s="221"/>
      <c r="D857" s="103"/>
      <c r="E857" s="74"/>
      <c r="F857" s="221"/>
    </row>
    <row r="858" hidden="1">
      <c r="A858" s="221"/>
      <c r="D858" s="103"/>
      <c r="E858" s="74"/>
      <c r="F858" s="221"/>
    </row>
    <row r="859" hidden="1">
      <c r="A859" s="221"/>
      <c r="D859" s="103"/>
      <c r="E859" s="74"/>
      <c r="F859" s="221"/>
    </row>
    <row r="860" hidden="1">
      <c r="A860" s="221"/>
      <c r="D860" s="103"/>
      <c r="E860" s="74"/>
      <c r="F860" s="221"/>
    </row>
    <row r="861" hidden="1">
      <c r="A861" s="221"/>
      <c r="D861" s="103"/>
      <c r="E861" s="74"/>
      <c r="F861" s="221"/>
    </row>
    <row r="862" hidden="1">
      <c r="A862" s="221"/>
      <c r="D862" s="103"/>
      <c r="E862" s="74"/>
      <c r="F862" s="221"/>
    </row>
    <row r="863" hidden="1">
      <c r="A863" s="221"/>
      <c r="D863" s="103"/>
      <c r="E863" s="74"/>
      <c r="F863" s="221"/>
    </row>
    <row r="864" hidden="1">
      <c r="A864" s="221"/>
      <c r="D864" s="103"/>
      <c r="E864" s="74"/>
      <c r="F864" s="221"/>
    </row>
    <row r="865" hidden="1">
      <c r="A865" s="221"/>
      <c r="D865" s="103"/>
      <c r="E865" s="74"/>
      <c r="F865" s="221"/>
    </row>
    <row r="866" hidden="1">
      <c r="A866" s="221"/>
      <c r="D866" s="103"/>
      <c r="E866" s="74"/>
      <c r="F866" s="221"/>
    </row>
    <row r="867" hidden="1">
      <c r="A867" s="221"/>
      <c r="D867" s="103"/>
      <c r="E867" s="74"/>
      <c r="F867" s="221"/>
    </row>
    <row r="868" hidden="1">
      <c r="A868" s="221"/>
      <c r="D868" s="103"/>
      <c r="E868" s="74"/>
      <c r="F868" s="221"/>
    </row>
    <row r="869" hidden="1">
      <c r="A869" s="221"/>
      <c r="D869" s="103"/>
      <c r="E869" s="74"/>
      <c r="F869" s="221"/>
    </row>
    <row r="870" hidden="1">
      <c r="A870" s="221"/>
      <c r="D870" s="103"/>
      <c r="E870" s="74"/>
      <c r="F870" s="221"/>
    </row>
    <row r="871" hidden="1">
      <c r="A871" s="221"/>
      <c r="D871" s="103"/>
      <c r="E871" s="74"/>
      <c r="F871" s="221"/>
    </row>
    <row r="872" hidden="1">
      <c r="A872" s="221"/>
      <c r="D872" s="103"/>
      <c r="E872" s="74"/>
      <c r="F872" s="221"/>
    </row>
    <row r="873" hidden="1">
      <c r="A873" s="221"/>
      <c r="D873" s="103"/>
      <c r="E873" s="74"/>
      <c r="F873" s="221"/>
    </row>
    <row r="874" hidden="1">
      <c r="A874" s="221"/>
      <c r="D874" s="103"/>
      <c r="E874" s="74"/>
      <c r="F874" s="221"/>
    </row>
    <row r="875" hidden="1">
      <c r="A875" s="221"/>
      <c r="D875" s="103"/>
      <c r="E875" s="74"/>
      <c r="F875" s="221"/>
    </row>
    <row r="876" hidden="1">
      <c r="A876" s="221"/>
      <c r="D876" s="103"/>
      <c r="E876" s="74"/>
      <c r="F876" s="221"/>
    </row>
    <row r="877" hidden="1">
      <c r="A877" s="221"/>
      <c r="D877" s="103"/>
      <c r="E877" s="74"/>
      <c r="F877" s="221"/>
    </row>
    <row r="878" hidden="1">
      <c r="A878" s="221"/>
      <c r="D878" s="103"/>
      <c r="E878" s="74"/>
      <c r="F878" s="221"/>
    </row>
    <row r="879" hidden="1">
      <c r="A879" s="221"/>
      <c r="D879" s="103"/>
      <c r="E879" s="74"/>
      <c r="F879" s="221"/>
    </row>
    <row r="880" hidden="1">
      <c r="A880" s="221"/>
      <c r="D880" s="103"/>
      <c r="E880" s="74"/>
      <c r="F880" s="221"/>
    </row>
    <row r="881" hidden="1">
      <c r="A881" s="221"/>
      <c r="D881" s="103"/>
      <c r="E881" s="74"/>
      <c r="F881" s="221"/>
    </row>
    <row r="882" hidden="1">
      <c r="A882" s="221"/>
      <c r="D882" s="103"/>
      <c r="E882" s="74"/>
      <c r="F882" s="221"/>
    </row>
    <row r="883" hidden="1">
      <c r="A883" s="221"/>
      <c r="D883" s="103"/>
      <c r="E883" s="74"/>
      <c r="F883" s="221"/>
    </row>
    <row r="884" hidden="1">
      <c r="A884" s="221"/>
      <c r="D884" s="103"/>
      <c r="E884" s="74"/>
      <c r="F884" s="221"/>
    </row>
    <row r="885" hidden="1">
      <c r="A885" s="221"/>
      <c r="D885" s="103"/>
      <c r="E885" s="74"/>
      <c r="F885" s="221"/>
    </row>
    <row r="886" hidden="1">
      <c r="A886" s="221"/>
      <c r="D886" s="103"/>
      <c r="E886" s="74"/>
      <c r="F886" s="221"/>
    </row>
    <row r="887" hidden="1">
      <c r="A887" s="221"/>
      <c r="D887" s="103"/>
      <c r="E887" s="74"/>
      <c r="F887" s="221"/>
    </row>
    <row r="888" hidden="1">
      <c r="A888" s="221"/>
      <c r="D888" s="103"/>
      <c r="E888" s="74"/>
      <c r="F888" s="221"/>
    </row>
    <row r="889" hidden="1">
      <c r="A889" s="221"/>
      <c r="D889" s="103"/>
      <c r="E889" s="74"/>
      <c r="F889" s="221"/>
    </row>
    <row r="890" hidden="1">
      <c r="A890" s="221"/>
      <c r="D890" s="103"/>
      <c r="E890" s="74"/>
      <c r="F890" s="221"/>
    </row>
    <row r="891" hidden="1">
      <c r="A891" s="221"/>
      <c r="D891" s="103"/>
      <c r="E891" s="74"/>
      <c r="F891" s="221"/>
    </row>
    <row r="892" hidden="1">
      <c r="A892" s="221"/>
      <c r="D892" s="103"/>
      <c r="E892" s="74"/>
      <c r="F892" s="221"/>
    </row>
    <row r="893" hidden="1">
      <c r="A893" s="221"/>
      <c r="D893" s="103"/>
      <c r="E893" s="74"/>
      <c r="F893" s="221"/>
    </row>
    <row r="894" hidden="1">
      <c r="A894" s="221"/>
      <c r="D894" s="103"/>
      <c r="E894" s="74"/>
      <c r="F894" s="221"/>
    </row>
    <row r="895" hidden="1">
      <c r="A895" s="221"/>
      <c r="D895" s="103"/>
      <c r="E895" s="74"/>
      <c r="F895" s="221"/>
    </row>
    <row r="896" hidden="1">
      <c r="A896" s="221"/>
      <c r="D896" s="103"/>
      <c r="E896" s="74"/>
      <c r="F896" s="221"/>
    </row>
    <row r="897" hidden="1">
      <c r="A897" s="221"/>
      <c r="D897" s="103"/>
      <c r="E897" s="74"/>
      <c r="F897" s="221"/>
    </row>
    <row r="898" hidden="1">
      <c r="A898" s="221"/>
      <c r="D898" s="103"/>
      <c r="E898" s="74"/>
      <c r="F898" s="221"/>
    </row>
    <row r="899" hidden="1">
      <c r="A899" s="221"/>
      <c r="D899" s="103"/>
      <c r="E899" s="74"/>
      <c r="F899" s="221"/>
    </row>
    <row r="900" hidden="1">
      <c r="A900" s="221"/>
      <c r="D900" s="103"/>
      <c r="E900" s="74"/>
      <c r="F900" s="221"/>
    </row>
    <row r="901" hidden="1">
      <c r="A901" s="221"/>
      <c r="D901" s="103"/>
      <c r="E901" s="74"/>
      <c r="F901" s="221"/>
    </row>
    <row r="902" hidden="1">
      <c r="A902" s="221"/>
      <c r="D902" s="103"/>
      <c r="E902" s="74"/>
      <c r="F902" s="221"/>
    </row>
    <row r="903" hidden="1">
      <c r="A903" s="221"/>
      <c r="D903" s="103"/>
      <c r="E903" s="74"/>
      <c r="F903" s="221"/>
    </row>
    <row r="904" hidden="1">
      <c r="A904" s="221"/>
      <c r="D904" s="103"/>
      <c r="E904" s="74"/>
      <c r="F904" s="221"/>
    </row>
    <row r="905" hidden="1">
      <c r="A905" s="221"/>
      <c r="D905" s="103"/>
      <c r="E905" s="74"/>
      <c r="F905" s="221"/>
    </row>
    <row r="906" hidden="1">
      <c r="A906" s="221"/>
      <c r="D906" s="103"/>
      <c r="E906" s="74"/>
      <c r="F906" s="221"/>
    </row>
    <row r="907" hidden="1">
      <c r="A907" s="221"/>
      <c r="D907" s="103"/>
      <c r="E907" s="74"/>
      <c r="F907" s="221"/>
    </row>
    <row r="908" hidden="1">
      <c r="A908" s="221"/>
      <c r="D908" s="103"/>
      <c r="E908" s="74"/>
      <c r="F908" s="221"/>
    </row>
    <row r="909" hidden="1">
      <c r="A909" s="221"/>
      <c r="D909" s="103"/>
      <c r="E909" s="74"/>
      <c r="F909" s="221"/>
    </row>
    <row r="910" hidden="1">
      <c r="A910" s="221"/>
      <c r="D910" s="103"/>
      <c r="E910" s="74"/>
      <c r="F910" s="221"/>
    </row>
    <row r="911" hidden="1">
      <c r="A911" s="221"/>
      <c r="D911" s="103"/>
      <c r="E911" s="74"/>
      <c r="F911" s="221"/>
    </row>
    <row r="912" hidden="1">
      <c r="A912" s="221"/>
      <c r="D912" s="103"/>
      <c r="E912" s="74"/>
      <c r="F912" s="221"/>
    </row>
    <row r="913" hidden="1">
      <c r="A913" s="221"/>
      <c r="D913" s="103"/>
      <c r="E913" s="74"/>
      <c r="F913" s="221"/>
    </row>
    <row r="914" hidden="1">
      <c r="A914" s="221"/>
      <c r="D914" s="103"/>
      <c r="E914" s="74"/>
      <c r="F914" s="221"/>
    </row>
    <row r="915" hidden="1">
      <c r="A915" s="221"/>
      <c r="D915" s="103"/>
      <c r="E915" s="74"/>
      <c r="F915" s="221"/>
    </row>
    <row r="916" hidden="1">
      <c r="A916" s="221"/>
      <c r="D916" s="103"/>
      <c r="E916" s="74"/>
      <c r="F916" s="221"/>
    </row>
    <row r="917" hidden="1">
      <c r="A917" s="221"/>
      <c r="D917" s="103"/>
      <c r="E917" s="74"/>
      <c r="F917" s="221"/>
    </row>
    <row r="918" hidden="1">
      <c r="A918" s="221"/>
      <c r="D918" s="103"/>
      <c r="E918" s="74"/>
      <c r="F918" s="221"/>
    </row>
    <row r="919" hidden="1">
      <c r="A919" s="221"/>
      <c r="D919" s="103"/>
      <c r="E919" s="74"/>
      <c r="F919" s="221"/>
    </row>
    <row r="920" hidden="1">
      <c r="A920" s="221"/>
      <c r="D920" s="103"/>
      <c r="E920" s="74"/>
      <c r="F920" s="221"/>
    </row>
    <row r="921" hidden="1">
      <c r="A921" s="221"/>
      <c r="D921" s="103"/>
      <c r="E921" s="74"/>
      <c r="F921" s="221"/>
    </row>
    <row r="922" hidden="1">
      <c r="A922" s="221"/>
      <c r="D922" s="103"/>
      <c r="E922" s="74"/>
      <c r="F922" s="221"/>
    </row>
    <row r="923" hidden="1">
      <c r="A923" s="221"/>
      <c r="D923" s="103"/>
      <c r="E923" s="74"/>
      <c r="F923" s="221"/>
    </row>
    <row r="924" hidden="1">
      <c r="A924" s="221"/>
      <c r="D924" s="103"/>
      <c r="E924" s="74"/>
      <c r="F924" s="221"/>
    </row>
    <row r="925" hidden="1">
      <c r="A925" s="221"/>
      <c r="D925" s="103"/>
      <c r="E925" s="74"/>
      <c r="F925" s="221"/>
    </row>
    <row r="926" hidden="1">
      <c r="A926" s="221"/>
      <c r="D926" s="103"/>
      <c r="E926" s="74"/>
      <c r="F926" s="221"/>
    </row>
    <row r="927" hidden="1">
      <c r="A927" s="221"/>
      <c r="D927" s="103"/>
      <c r="E927" s="74"/>
      <c r="F927" s="221"/>
    </row>
    <row r="928" hidden="1">
      <c r="A928" s="221"/>
      <c r="D928" s="103"/>
      <c r="E928" s="74"/>
      <c r="F928" s="221"/>
    </row>
    <row r="929" hidden="1">
      <c r="A929" s="221"/>
      <c r="D929" s="103"/>
      <c r="E929" s="74"/>
      <c r="F929" s="221"/>
    </row>
    <row r="930" hidden="1">
      <c r="A930" s="221"/>
      <c r="D930" s="103"/>
      <c r="E930" s="74"/>
      <c r="F930" s="221"/>
    </row>
    <row r="931" hidden="1">
      <c r="A931" s="221"/>
      <c r="D931" s="103"/>
      <c r="E931" s="74"/>
      <c r="F931" s="221"/>
    </row>
    <row r="932" hidden="1">
      <c r="A932" s="221"/>
      <c r="D932" s="103"/>
      <c r="E932" s="74"/>
      <c r="F932" s="221"/>
    </row>
    <row r="933" hidden="1">
      <c r="A933" s="221"/>
      <c r="D933" s="103"/>
      <c r="E933" s="74"/>
      <c r="F933" s="221"/>
    </row>
    <row r="934" hidden="1">
      <c r="A934" s="221"/>
      <c r="D934" s="103"/>
      <c r="E934" s="74"/>
      <c r="F934" s="221"/>
    </row>
    <row r="935" hidden="1">
      <c r="A935" s="221"/>
      <c r="D935" s="103"/>
      <c r="E935" s="74"/>
      <c r="F935" s="221"/>
    </row>
    <row r="936" hidden="1">
      <c r="A936" s="221"/>
      <c r="D936" s="103"/>
      <c r="E936" s="74"/>
      <c r="F936" s="221"/>
    </row>
    <row r="937" hidden="1">
      <c r="A937" s="221"/>
      <c r="D937" s="103"/>
      <c r="E937" s="74"/>
      <c r="F937" s="221"/>
    </row>
    <row r="938" hidden="1">
      <c r="A938" s="221"/>
      <c r="D938" s="103"/>
      <c r="E938" s="74"/>
      <c r="F938" s="221"/>
    </row>
    <row r="939" hidden="1">
      <c r="A939" s="221"/>
      <c r="D939" s="103"/>
      <c r="E939" s="74"/>
      <c r="F939" s="221"/>
    </row>
    <row r="940" hidden="1">
      <c r="A940" s="221"/>
      <c r="D940" s="103"/>
      <c r="E940" s="74"/>
      <c r="F940" s="221"/>
    </row>
    <row r="941" hidden="1">
      <c r="A941" s="221"/>
      <c r="D941" s="103"/>
      <c r="E941" s="74"/>
      <c r="F941" s="221"/>
    </row>
    <row r="942" hidden="1">
      <c r="A942" s="221"/>
      <c r="D942" s="103"/>
      <c r="E942" s="74"/>
      <c r="F942" s="221"/>
    </row>
    <row r="943" hidden="1">
      <c r="A943" s="221"/>
      <c r="D943" s="103"/>
      <c r="E943" s="74"/>
      <c r="F943" s="221"/>
    </row>
    <row r="944" hidden="1">
      <c r="A944" s="221"/>
      <c r="D944" s="103"/>
      <c r="E944" s="74"/>
      <c r="F944" s="221"/>
    </row>
    <row r="945" hidden="1">
      <c r="A945" s="221"/>
      <c r="D945" s="103"/>
      <c r="E945" s="74"/>
      <c r="F945" s="221"/>
    </row>
    <row r="946" hidden="1">
      <c r="A946" s="221"/>
      <c r="D946" s="103"/>
      <c r="E946" s="74"/>
      <c r="F946" s="221"/>
    </row>
    <row r="947" hidden="1">
      <c r="A947" s="221"/>
      <c r="D947" s="103"/>
      <c r="E947" s="74"/>
      <c r="F947" s="221"/>
    </row>
    <row r="948" hidden="1">
      <c r="A948" s="221"/>
      <c r="D948" s="103"/>
      <c r="E948" s="74"/>
      <c r="F948" s="221"/>
    </row>
    <row r="949" hidden="1">
      <c r="A949" s="221"/>
      <c r="D949" s="103"/>
      <c r="E949" s="74"/>
      <c r="F949" s="221"/>
    </row>
    <row r="950" hidden="1">
      <c r="A950" s="221"/>
      <c r="D950" s="103"/>
      <c r="E950" s="74"/>
      <c r="F950" s="221"/>
    </row>
    <row r="951" hidden="1">
      <c r="A951" s="221"/>
      <c r="D951" s="103"/>
      <c r="E951" s="74"/>
      <c r="F951" s="221"/>
    </row>
    <row r="952" hidden="1">
      <c r="A952" s="221"/>
      <c r="D952" s="103"/>
      <c r="E952" s="74"/>
      <c r="F952" s="221"/>
    </row>
    <row r="953" hidden="1">
      <c r="A953" s="221"/>
      <c r="D953" s="103"/>
      <c r="E953" s="74"/>
      <c r="F953" s="221"/>
    </row>
    <row r="954" hidden="1">
      <c r="A954" s="221"/>
      <c r="D954" s="103"/>
      <c r="E954" s="74"/>
      <c r="F954" s="221"/>
    </row>
    <row r="955" hidden="1">
      <c r="A955" s="221"/>
      <c r="D955" s="103"/>
      <c r="E955" s="74"/>
      <c r="F955" s="221"/>
    </row>
    <row r="956" hidden="1">
      <c r="A956" s="221"/>
      <c r="D956" s="103"/>
      <c r="E956" s="74"/>
      <c r="F956" s="221"/>
    </row>
    <row r="957" hidden="1">
      <c r="A957" s="221"/>
      <c r="D957" s="103"/>
      <c r="E957" s="74"/>
      <c r="F957" s="221"/>
    </row>
    <row r="958" hidden="1">
      <c r="A958" s="221"/>
      <c r="D958" s="103"/>
      <c r="E958" s="74"/>
      <c r="F958" s="221"/>
    </row>
    <row r="959" hidden="1">
      <c r="A959" s="221"/>
      <c r="D959" s="103"/>
      <c r="E959" s="74"/>
      <c r="F959" s="221"/>
    </row>
    <row r="960" hidden="1">
      <c r="A960" s="221"/>
      <c r="D960" s="103"/>
      <c r="E960" s="74"/>
      <c r="F960" s="221"/>
    </row>
    <row r="961" hidden="1">
      <c r="A961" s="221"/>
      <c r="D961" s="103"/>
      <c r="E961" s="74"/>
      <c r="F961" s="221"/>
    </row>
    <row r="962" hidden="1">
      <c r="A962" s="221"/>
      <c r="D962" s="103"/>
      <c r="E962" s="74"/>
      <c r="F962" s="221"/>
    </row>
    <row r="963" hidden="1">
      <c r="A963" s="221"/>
      <c r="D963" s="103"/>
      <c r="E963" s="74"/>
      <c r="F963" s="221"/>
    </row>
    <row r="964" hidden="1">
      <c r="A964" s="221"/>
      <c r="D964" s="103"/>
      <c r="E964" s="74"/>
      <c r="F964" s="221"/>
    </row>
    <row r="965" hidden="1">
      <c r="A965" s="221"/>
      <c r="D965" s="103"/>
      <c r="E965" s="74"/>
      <c r="F965" s="221"/>
    </row>
    <row r="966" hidden="1">
      <c r="A966" s="221"/>
      <c r="D966" s="103"/>
      <c r="E966" s="74"/>
      <c r="F966" s="221"/>
    </row>
    <row r="967" hidden="1">
      <c r="A967" s="221"/>
      <c r="D967" s="103"/>
      <c r="E967" s="74"/>
      <c r="F967" s="221"/>
    </row>
    <row r="968" hidden="1">
      <c r="A968" s="221"/>
      <c r="D968" s="103"/>
      <c r="E968" s="74"/>
      <c r="F968" s="221"/>
    </row>
    <row r="969" hidden="1">
      <c r="A969" s="221"/>
      <c r="D969" s="103"/>
      <c r="E969" s="74"/>
      <c r="F969" s="221"/>
    </row>
    <row r="970" hidden="1">
      <c r="A970" s="221"/>
      <c r="D970" s="103"/>
      <c r="E970" s="74"/>
      <c r="F970" s="221"/>
    </row>
    <row r="971" hidden="1">
      <c r="A971" s="221"/>
      <c r="D971" s="103"/>
      <c r="E971" s="74"/>
      <c r="F971" s="221"/>
    </row>
    <row r="972" hidden="1">
      <c r="A972" s="221"/>
      <c r="D972" s="103"/>
      <c r="E972" s="74"/>
      <c r="F972" s="221"/>
    </row>
    <row r="973" hidden="1">
      <c r="A973" s="221"/>
      <c r="D973" s="103"/>
      <c r="E973" s="74"/>
      <c r="F973" s="221"/>
    </row>
    <row r="974" hidden="1">
      <c r="A974" s="221"/>
      <c r="D974" s="103"/>
      <c r="E974" s="74"/>
      <c r="F974" s="221"/>
    </row>
    <row r="975" hidden="1">
      <c r="A975" s="221"/>
      <c r="D975" s="103"/>
      <c r="E975" s="74"/>
      <c r="F975" s="221"/>
    </row>
    <row r="976" hidden="1">
      <c r="A976" s="221"/>
      <c r="D976" s="103"/>
      <c r="E976" s="74"/>
      <c r="F976" s="221"/>
    </row>
    <row r="977" hidden="1">
      <c r="A977" s="221"/>
      <c r="D977" s="103"/>
      <c r="E977" s="74"/>
      <c r="F977" s="221"/>
    </row>
    <row r="978" hidden="1">
      <c r="A978" s="221"/>
      <c r="D978" s="103"/>
      <c r="E978" s="74"/>
      <c r="F978" s="221"/>
    </row>
    <row r="979" hidden="1">
      <c r="A979" s="221"/>
      <c r="D979" s="103"/>
      <c r="E979" s="74"/>
      <c r="F979" s="221"/>
    </row>
    <row r="980" hidden="1">
      <c r="A980" s="221"/>
      <c r="D980" s="103"/>
      <c r="E980" s="74"/>
      <c r="F980" s="221"/>
    </row>
    <row r="981" hidden="1">
      <c r="A981" s="221"/>
      <c r="D981" s="103"/>
      <c r="E981" s="74"/>
      <c r="F981" s="221"/>
    </row>
    <row r="982" hidden="1">
      <c r="A982" s="221"/>
      <c r="D982" s="103"/>
      <c r="E982" s="74"/>
      <c r="F982" s="221"/>
    </row>
    <row r="983" hidden="1">
      <c r="A983" s="221"/>
      <c r="D983" s="103"/>
      <c r="E983" s="74"/>
      <c r="F983" s="221"/>
    </row>
    <row r="984" hidden="1">
      <c r="A984" s="221"/>
      <c r="D984" s="103"/>
      <c r="E984" s="74"/>
      <c r="F984" s="221"/>
    </row>
    <row r="985" hidden="1">
      <c r="A985" s="221"/>
      <c r="D985" s="103"/>
      <c r="E985" s="74"/>
      <c r="F985" s="221"/>
    </row>
    <row r="986" hidden="1">
      <c r="A986" s="221"/>
      <c r="D986" s="103"/>
      <c r="E986" s="74"/>
      <c r="F986" s="221"/>
    </row>
    <row r="987" hidden="1">
      <c r="A987" s="221"/>
      <c r="D987" s="103"/>
      <c r="E987" s="74"/>
      <c r="F987" s="221"/>
    </row>
    <row r="988" hidden="1">
      <c r="A988" s="221"/>
      <c r="D988" s="103"/>
      <c r="E988" s="74"/>
      <c r="F988" s="221"/>
    </row>
    <row r="989" hidden="1">
      <c r="A989" s="221"/>
      <c r="D989" s="103"/>
      <c r="E989" s="74"/>
      <c r="F989" s="221"/>
    </row>
    <row r="990" hidden="1">
      <c r="A990" s="221"/>
      <c r="D990" s="103"/>
      <c r="E990" s="74"/>
      <c r="F990" s="221"/>
    </row>
    <row r="991" hidden="1">
      <c r="A991" s="221"/>
      <c r="D991" s="103"/>
      <c r="E991" s="74"/>
      <c r="F991" s="221"/>
    </row>
    <row r="992" hidden="1">
      <c r="A992" s="221"/>
      <c r="D992" s="103"/>
      <c r="E992" s="74"/>
      <c r="F992" s="221"/>
    </row>
    <row r="993" hidden="1">
      <c r="A993" s="221"/>
      <c r="D993" s="103"/>
      <c r="E993" s="74"/>
      <c r="F993" s="221"/>
    </row>
    <row r="994" hidden="1">
      <c r="A994" s="221"/>
      <c r="D994" s="103"/>
      <c r="E994" s="74"/>
      <c r="F994" s="221"/>
    </row>
    <row r="995" hidden="1">
      <c r="A995" s="221"/>
      <c r="D995" s="103"/>
      <c r="E995" s="74"/>
      <c r="F995" s="221"/>
    </row>
    <row r="996" hidden="1">
      <c r="A996" s="221"/>
      <c r="D996" s="103"/>
      <c r="E996" s="74"/>
      <c r="F996" s="221"/>
    </row>
    <row r="997" hidden="1">
      <c r="A997" s="221"/>
      <c r="D997" s="103"/>
      <c r="E997" s="74"/>
      <c r="F997" s="221"/>
    </row>
    <row r="998" hidden="1">
      <c r="A998" s="221"/>
      <c r="D998" s="103"/>
      <c r="E998" s="74"/>
      <c r="F998" s="221"/>
    </row>
    <row r="999" hidden="1">
      <c r="A999" s="221"/>
      <c r="D999" s="103"/>
      <c r="E999" s="74"/>
      <c r="F999" s="221"/>
    </row>
    <row r="1000" hidden="1">
      <c r="A1000" s="221"/>
      <c r="D1000" s="103"/>
      <c r="E1000" s="74"/>
      <c r="F1000" s="221"/>
    </row>
    <row r="1001" hidden="1">
      <c r="A1001" s="221"/>
      <c r="D1001" s="103"/>
      <c r="E1001" s="74"/>
      <c r="F1001" s="221"/>
    </row>
    <row r="1002" hidden="1">
      <c r="A1002" s="221"/>
      <c r="D1002" s="103"/>
      <c r="E1002" s="74"/>
      <c r="F1002" s="221"/>
    </row>
    <row r="1003" hidden="1">
      <c r="A1003" s="221"/>
      <c r="D1003" s="103"/>
      <c r="E1003" s="74"/>
      <c r="F1003" s="221"/>
    </row>
    <row r="1004" hidden="1">
      <c r="A1004" s="221"/>
      <c r="D1004" s="103"/>
      <c r="E1004" s="74"/>
      <c r="F1004" s="221"/>
    </row>
    <row r="1005" hidden="1">
      <c r="A1005" s="221"/>
      <c r="D1005" s="103"/>
      <c r="E1005" s="74"/>
      <c r="F1005" s="221"/>
    </row>
    <row r="1006" hidden="1">
      <c r="A1006" s="221"/>
      <c r="D1006" s="103"/>
      <c r="E1006" s="74"/>
      <c r="F1006" s="221"/>
    </row>
    <row r="1007" hidden="1">
      <c r="A1007" s="221"/>
      <c r="D1007" s="103"/>
      <c r="E1007" s="74"/>
      <c r="F1007" s="221"/>
    </row>
    <row r="1008" hidden="1">
      <c r="A1008" s="221"/>
      <c r="D1008" s="103"/>
      <c r="E1008" s="74"/>
      <c r="F1008" s="221"/>
    </row>
    <row r="1009" hidden="1">
      <c r="A1009" s="221"/>
      <c r="D1009" s="103"/>
      <c r="E1009" s="74"/>
      <c r="F1009" s="221"/>
    </row>
    <row r="1010" hidden="1">
      <c r="A1010" s="221"/>
      <c r="D1010" s="103"/>
      <c r="E1010" s="74"/>
      <c r="F1010" s="221"/>
    </row>
  </sheetData>
  <autoFilter ref="$A$1:$Z$1010">
    <filterColumn colId="7">
      <filters>
        <filter val="เงินร้าน"/>
      </filters>
    </filterColumn>
    <sortState ref="A1:Z1010">
      <sortCondition ref="A1:A1010"/>
    </sortState>
  </autoFilter>
  <printOptions gridLines="1" horizontalCentered="1"/>
  <pageMargins bottom="0.19685039370078738" footer="0.0" header="0.0" left="0.31496062992125984" right="0.39370078740157477" top="0.19685039370078738"/>
  <pageSetup paperSize="9" scale="78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1.88"/>
    <col customWidth="1" min="3" max="3" width="36.0"/>
    <col customWidth="1" min="4" max="4" width="10.13"/>
    <col customWidth="1" min="9" max="9" width="18.0"/>
    <col customWidth="1" min="10" max="10" width="18.75"/>
    <col customWidth="1" min="11" max="11" width="27.63"/>
    <col customWidth="1" min="12" max="12" width="7.38"/>
    <col customWidth="1" min="13" max="13" width="5.25"/>
  </cols>
  <sheetData>
    <row r="1" ht="19.5" customHeight="1">
      <c r="A1" s="1" t="s">
        <v>0</v>
      </c>
      <c r="B1" s="1" t="s">
        <v>2</v>
      </c>
      <c r="C1" s="1" t="s">
        <v>3</v>
      </c>
      <c r="D1" s="2" t="s">
        <v>4</v>
      </c>
      <c r="E1" s="3" t="s">
        <v>5</v>
      </c>
      <c r="F1" s="4" t="s">
        <v>6</v>
      </c>
      <c r="G1" s="1" t="s">
        <v>7</v>
      </c>
      <c r="H1" s="1" t="s">
        <v>8</v>
      </c>
      <c r="I1" s="6" t="str">
        <f> CONCAT("ค้างจ่าย   ", text( SUMIF($E$1:E42830,"",$D$1:D42830),"#,##0"))</f>
        <v>ค้างจ่าย   0</v>
      </c>
      <c r="J1" s="7" t="s">
        <v>9</v>
      </c>
      <c r="L1" s="9"/>
    </row>
    <row r="2" ht="15.75" customHeight="1">
      <c r="A2" s="20">
        <v>46204.0</v>
      </c>
      <c r="B2" s="13" t="s">
        <v>16</v>
      </c>
      <c r="C2" s="24" t="s">
        <v>20</v>
      </c>
      <c r="D2" s="26">
        <v>30170.0</v>
      </c>
      <c r="E2" s="28">
        <v>30170.0</v>
      </c>
      <c r="F2" s="29">
        <v>46209.0</v>
      </c>
      <c r="G2" s="24" t="s">
        <v>24</v>
      </c>
      <c r="H2" s="31" t="s">
        <v>17</v>
      </c>
      <c r="I2" s="32"/>
      <c r="L2" s="34"/>
      <c r="M2" s="39" t="str">
        <f>SUM(#REF!)</f>
        <v>#REF!</v>
      </c>
    </row>
    <row r="3" ht="15.75" customHeight="1">
      <c r="A3" s="40">
        <v>46204.0</v>
      </c>
      <c r="B3" s="41" t="s">
        <v>50</v>
      </c>
      <c r="C3" s="42" t="s">
        <v>54</v>
      </c>
      <c r="D3" s="15">
        <v>2035.0</v>
      </c>
      <c r="E3" s="18">
        <v>2035.0</v>
      </c>
      <c r="F3" s="44">
        <v>46204.0</v>
      </c>
      <c r="G3" s="13" t="s">
        <v>24</v>
      </c>
      <c r="H3" s="36" t="s">
        <v>17</v>
      </c>
      <c r="I3" s="46"/>
    </row>
    <row r="4" ht="15.75" customHeight="1">
      <c r="A4" s="47">
        <v>46204.0</v>
      </c>
      <c r="B4" s="13" t="s">
        <v>68</v>
      </c>
      <c r="C4" s="51" t="s">
        <v>69</v>
      </c>
      <c r="D4" s="15">
        <v>2145.0</v>
      </c>
      <c r="E4" s="13">
        <v>2145.0</v>
      </c>
      <c r="F4" s="11">
        <v>46203.0</v>
      </c>
      <c r="G4" s="13" t="s">
        <v>55</v>
      </c>
      <c r="H4" s="45" t="s">
        <v>42</v>
      </c>
      <c r="I4" s="38"/>
      <c r="J4" s="58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66">
        <v>46204.0</v>
      </c>
      <c r="B5" s="65" t="s">
        <v>81</v>
      </c>
      <c r="C5" s="65" t="s">
        <v>83</v>
      </c>
      <c r="D5" s="68">
        <v>40.0</v>
      </c>
      <c r="E5" s="70">
        <v>40.0</v>
      </c>
      <c r="F5" s="71">
        <v>46204.0</v>
      </c>
      <c r="G5" s="65" t="s">
        <v>14</v>
      </c>
      <c r="H5" s="72" t="s">
        <v>17</v>
      </c>
      <c r="I5" s="73"/>
      <c r="K5" s="39" t="str">
        <f>SUM(#REF!)</f>
        <v>#REF!</v>
      </c>
    </row>
    <row r="6" ht="15.75" customHeight="1">
      <c r="A6" s="11">
        <v>46204.0</v>
      </c>
      <c r="B6" s="13" t="s">
        <v>38</v>
      </c>
      <c r="C6" s="13" t="s">
        <v>40</v>
      </c>
      <c r="D6" s="15">
        <v>1000.0</v>
      </c>
      <c r="E6" s="18">
        <v>1000.0</v>
      </c>
      <c r="F6" s="11">
        <v>46204.0</v>
      </c>
      <c r="G6" s="13" t="s">
        <v>14</v>
      </c>
      <c r="H6" s="76" t="s">
        <v>17</v>
      </c>
      <c r="I6" s="1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1">
        <v>46204.0</v>
      </c>
      <c r="B7" s="13" t="s">
        <v>38</v>
      </c>
      <c r="C7" s="13" t="s">
        <v>102</v>
      </c>
      <c r="D7" s="15">
        <v>1000.0</v>
      </c>
      <c r="E7" s="18">
        <v>1000.0</v>
      </c>
      <c r="F7" s="11">
        <v>46204.0</v>
      </c>
      <c r="G7" s="13" t="s">
        <v>14</v>
      </c>
      <c r="H7" s="76" t="s">
        <v>17</v>
      </c>
      <c r="I7" s="13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11">
        <v>46204.0</v>
      </c>
      <c r="B8" s="13" t="s">
        <v>52</v>
      </c>
      <c r="C8" s="13" t="s">
        <v>107</v>
      </c>
      <c r="D8" s="15">
        <v>16250.0</v>
      </c>
      <c r="E8" s="18">
        <v>16250.0</v>
      </c>
      <c r="F8" s="11">
        <v>46204.0</v>
      </c>
      <c r="G8" s="13" t="s">
        <v>14</v>
      </c>
      <c r="H8" s="76" t="s">
        <v>17</v>
      </c>
      <c r="I8" s="21"/>
    </row>
    <row r="9" ht="15.75" customHeight="1">
      <c r="A9" s="11">
        <v>46204.0</v>
      </c>
      <c r="B9" s="13" t="s">
        <v>112</v>
      </c>
      <c r="C9" s="13" t="s">
        <v>113</v>
      </c>
      <c r="D9" s="15">
        <v>550.0</v>
      </c>
      <c r="E9" s="18">
        <v>550.0</v>
      </c>
      <c r="F9" s="11">
        <v>46204.0</v>
      </c>
      <c r="G9" s="13" t="s">
        <v>24</v>
      </c>
      <c r="H9" s="76" t="s">
        <v>17</v>
      </c>
      <c r="I9" s="21"/>
    </row>
    <row r="10" ht="15.75" customHeight="1">
      <c r="A10" s="11">
        <v>46204.0</v>
      </c>
      <c r="B10" s="13" t="s">
        <v>10</v>
      </c>
      <c r="C10" s="13" t="s">
        <v>115</v>
      </c>
      <c r="D10" s="15">
        <v>200.0</v>
      </c>
      <c r="E10" s="18">
        <v>200.0</v>
      </c>
      <c r="F10" s="11">
        <v>46204.0</v>
      </c>
      <c r="G10" s="13" t="s">
        <v>14</v>
      </c>
      <c r="H10" s="76" t="s">
        <v>17</v>
      </c>
      <c r="I10" s="85"/>
      <c r="L10" s="87"/>
    </row>
    <row r="11" ht="15.75" customHeight="1">
      <c r="A11" s="11">
        <v>46204.0</v>
      </c>
      <c r="B11" s="13" t="s">
        <v>50</v>
      </c>
      <c r="C11" s="13" t="s">
        <v>120</v>
      </c>
      <c r="D11" s="13">
        <v>324.0</v>
      </c>
      <c r="E11" s="18">
        <v>324.0</v>
      </c>
      <c r="F11" s="11">
        <v>46204.0</v>
      </c>
      <c r="G11" s="13" t="s">
        <v>14</v>
      </c>
      <c r="H11" s="76" t="s">
        <v>17</v>
      </c>
      <c r="I11" s="21"/>
    </row>
    <row r="12" ht="15.75" customHeight="1">
      <c r="A12" s="11">
        <v>46204.0</v>
      </c>
      <c r="B12" s="13" t="s">
        <v>43</v>
      </c>
      <c r="C12" s="13" t="s">
        <v>123</v>
      </c>
      <c r="D12" s="15">
        <v>45400.0</v>
      </c>
      <c r="E12" s="13">
        <v>29400.0</v>
      </c>
      <c r="F12" s="11">
        <v>46210.0</v>
      </c>
      <c r="G12" s="13" t="s">
        <v>55</v>
      </c>
      <c r="H12" s="13" t="s">
        <v>42</v>
      </c>
      <c r="I12" s="21"/>
    </row>
    <row r="13" ht="15.75" customHeight="1">
      <c r="A13" s="11">
        <v>46204.0</v>
      </c>
      <c r="B13" s="13" t="s">
        <v>43</v>
      </c>
      <c r="C13" s="13" t="s">
        <v>124</v>
      </c>
      <c r="D13" s="15"/>
      <c r="E13" s="13">
        <v>16000.0</v>
      </c>
      <c r="F13" s="11">
        <v>46210.0</v>
      </c>
      <c r="G13" s="13" t="s">
        <v>55</v>
      </c>
      <c r="H13" s="13" t="s">
        <v>59</v>
      </c>
      <c r="I13" s="21"/>
    </row>
    <row r="14" ht="15.75" customHeight="1">
      <c r="A14" s="11">
        <v>46204.0</v>
      </c>
      <c r="B14" s="13" t="s">
        <v>126</v>
      </c>
      <c r="C14" s="13" t="s">
        <v>127</v>
      </c>
      <c r="D14" s="15">
        <v>630.0</v>
      </c>
      <c r="E14" s="18">
        <v>630.0</v>
      </c>
      <c r="F14" s="11">
        <v>46204.0</v>
      </c>
      <c r="G14" s="13" t="s">
        <v>14</v>
      </c>
      <c r="H14" s="76" t="s">
        <v>17</v>
      </c>
      <c r="I14" s="1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11">
        <v>46204.0</v>
      </c>
      <c r="B15" s="13" t="s">
        <v>129</v>
      </c>
      <c r="C15" s="13" t="s">
        <v>130</v>
      </c>
      <c r="D15" s="15">
        <v>2950.0</v>
      </c>
      <c r="E15" s="13">
        <v>2950.0</v>
      </c>
      <c r="F15" s="44">
        <v>46205.0</v>
      </c>
      <c r="G15" s="13" t="s">
        <v>55</v>
      </c>
      <c r="H15" s="13" t="s">
        <v>42</v>
      </c>
      <c r="I15" s="21"/>
    </row>
    <row r="16" ht="15.75" customHeight="1">
      <c r="A16" s="86">
        <v>46204.0</v>
      </c>
      <c r="B16" s="88" t="s">
        <v>112</v>
      </c>
      <c r="C16" s="88" t="s">
        <v>132</v>
      </c>
      <c r="D16" s="90">
        <v>14388.0</v>
      </c>
      <c r="E16" s="91">
        <v>14388.0</v>
      </c>
      <c r="F16" s="86">
        <v>46204.0</v>
      </c>
      <c r="G16" s="88" t="s">
        <v>24</v>
      </c>
      <c r="H16" s="101" t="s">
        <v>17</v>
      </c>
      <c r="I16" s="57"/>
    </row>
    <row r="17" ht="15.75" customHeight="1">
      <c r="A17" s="102">
        <v>46205.0</v>
      </c>
      <c r="B17" s="41" t="s">
        <v>134</v>
      </c>
      <c r="C17" s="41" t="s">
        <v>54</v>
      </c>
      <c r="D17" s="41">
        <v>942.0</v>
      </c>
      <c r="E17" s="104">
        <v>942.0</v>
      </c>
      <c r="F17" s="41">
        <v>942.0</v>
      </c>
      <c r="G17" s="41" t="s">
        <v>14</v>
      </c>
      <c r="H17" s="106" t="s">
        <v>17</v>
      </c>
      <c r="I17" s="107"/>
    </row>
    <row r="18" ht="15.75" customHeight="1">
      <c r="A18" s="44">
        <v>46205.0</v>
      </c>
      <c r="B18" s="13" t="s">
        <v>68</v>
      </c>
      <c r="C18" s="13" t="s">
        <v>140</v>
      </c>
      <c r="D18" s="13">
        <v>4215.0</v>
      </c>
      <c r="E18" s="13">
        <v>4215.0</v>
      </c>
      <c r="F18" s="44">
        <v>46205.0</v>
      </c>
      <c r="G18" s="13" t="s">
        <v>141</v>
      </c>
      <c r="H18" s="13" t="s">
        <v>42</v>
      </c>
      <c r="I18" s="21"/>
    </row>
    <row r="19" ht="15.75" customHeight="1">
      <c r="A19" s="44">
        <v>46205.0</v>
      </c>
      <c r="B19" s="13" t="s">
        <v>144</v>
      </c>
      <c r="C19" s="13" t="s">
        <v>146</v>
      </c>
      <c r="D19" s="13">
        <v>3140.0</v>
      </c>
      <c r="E19" s="13">
        <v>3140.0</v>
      </c>
      <c r="F19" s="44">
        <v>46205.0</v>
      </c>
      <c r="G19" s="13" t="s">
        <v>141</v>
      </c>
      <c r="H19" s="13" t="s">
        <v>42</v>
      </c>
      <c r="I19" s="21"/>
    </row>
    <row r="20" ht="15.75" customHeight="1">
      <c r="A20" s="44">
        <v>46205.0</v>
      </c>
      <c r="B20" s="13" t="s">
        <v>63</v>
      </c>
      <c r="C20" s="13" t="s">
        <v>148</v>
      </c>
      <c r="D20" s="13">
        <v>28200.0</v>
      </c>
      <c r="E20" s="13">
        <v>28200.0</v>
      </c>
      <c r="F20" s="44">
        <v>46209.0</v>
      </c>
      <c r="G20" s="13" t="s">
        <v>55</v>
      </c>
      <c r="H20" s="13" t="s">
        <v>42</v>
      </c>
      <c r="I20" s="21"/>
    </row>
    <row r="21" ht="15.75" customHeight="1">
      <c r="A21" s="44">
        <v>46205.0</v>
      </c>
      <c r="B21" s="13" t="s">
        <v>149</v>
      </c>
      <c r="C21" s="13" t="s">
        <v>77</v>
      </c>
      <c r="D21" s="13">
        <v>5100.0</v>
      </c>
      <c r="E21" s="18">
        <v>5100.0</v>
      </c>
      <c r="F21" s="44">
        <v>46206.0</v>
      </c>
      <c r="G21" s="13" t="s">
        <v>14</v>
      </c>
      <c r="H21" s="76" t="s">
        <v>17</v>
      </c>
      <c r="I21" s="21"/>
    </row>
    <row r="22" ht="15.75" customHeight="1">
      <c r="A22" s="44">
        <v>46205.0</v>
      </c>
      <c r="B22" s="13" t="s">
        <v>150</v>
      </c>
      <c r="C22" s="13" t="s">
        <v>151</v>
      </c>
      <c r="D22" s="13">
        <v>6200.0</v>
      </c>
      <c r="E22" s="13">
        <v>6200.0</v>
      </c>
      <c r="F22" s="44">
        <v>46207.0</v>
      </c>
      <c r="G22" s="13" t="s">
        <v>55</v>
      </c>
      <c r="H22" s="13" t="s">
        <v>42</v>
      </c>
      <c r="I22" s="21"/>
    </row>
    <row r="23" ht="15.75" customHeight="1">
      <c r="A23" s="44">
        <v>46205.0</v>
      </c>
      <c r="B23" s="13" t="s">
        <v>38</v>
      </c>
      <c r="C23" s="13" t="s">
        <v>40</v>
      </c>
      <c r="D23" s="15">
        <v>1000.0</v>
      </c>
      <c r="E23" s="18">
        <v>1000.0</v>
      </c>
      <c r="F23" s="44">
        <v>46205.0</v>
      </c>
      <c r="G23" s="13" t="s">
        <v>14</v>
      </c>
      <c r="H23" s="76" t="s">
        <v>17</v>
      </c>
      <c r="I23" s="21"/>
      <c r="K23" s="74">
        <f>SUM(E21:E27)</f>
        <v>20967</v>
      </c>
    </row>
    <row r="24" ht="15.75" customHeight="1">
      <c r="A24" s="44">
        <v>46205.0</v>
      </c>
      <c r="B24" s="13" t="s">
        <v>154</v>
      </c>
      <c r="C24" s="13" t="s">
        <v>155</v>
      </c>
      <c r="D24" s="13">
        <v>138.0</v>
      </c>
      <c r="E24" s="18">
        <v>138.0</v>
      </c>
      <c r="F24" s="13">
        <v>138.0</v>
      </c>
      <c r="G24" s="13" t="s">
        <v>14</v>
      </c>
      <c r="H24" s="76" t="s">
        <v>17</v>
      </c>
      <c r="I24" s="21"/>
    </row>
    <row r="25" ht="15.75" customHeight="1">
      <c r="A25" s="11">
        <v>46205.0</v>
      </c>
      <c r="B25" s="13" t="s">
        <v>10</v>
      </c>
      <c r="C25" s="13" t="s">
        <v>91</v>
      </c>
      <c r="D25" s="15">
        <v>320.0</v>
      </c>
      <c r="E25" s="18">
        <v>320.0</v>
      </c>
      <c r="F25" s="13">
        <v>320.0</v>
      </c>
      <c r="G25" s="13" t="s">
        <v>14</v>
      </c>
      <c r="H25" s="76" t="s">
        <v>17</v>
      </c>
      <c r="I25" s="21"/>
    </row>
    <row r="26" ht="15.75" customHeight="1">
      <c r="A26" s="44">
        <v>46205.0</v>
      </c>
      <c r="B26" s="13" t="s">
        <v>156</v>
      </c>
      <c r="C26" s="13" t="s">
        <v>157</v>
      </c>
      <c r="D26" s="13">
        <v>8000.0</v>
      </c>
      <c r="E26" s="18">
        <v>8000.0</v>
      </c>
      <c r="F26" s="44">
        <v>46216.0</v>
      </c>
      <c r="G26" s="13" t="s">
        <v>55</v>
      </c>
      <c r="H26" s="13" t="s">
        <v>56</v>
      </c>
      <c r="I26" s="121"/>
      <c r="L26" s="103">
        <f>SUM(D6:D124)</f>
        <v>886291.6</v>
      </c>
    </row>
    <row r="27" ht="15.75" customHeight="1">
      <c r="A27" s="44">
        <v>46205.0</v>
      </c>
      <c r="B27" s="13" t="s">
        <v>161</v>
      </c>
      <c r="C27" s="13" t="s">
        <v>162</v>
      </c>
      <c r="D27" s="13">
        <v>209.0</v>
      </c>
      <c r="E27" s="18">
        <v>209.0</v>
      </c>
      <c r="F27" s="13">
        <v>209.0</v>
      </c>
      <c r="G27" s="13" t="s">
        <v>14</v>
      </c>
      <c r="H27" s="76" t="s">
        <v>17</v>
      </c>
      <c r="I27" s="21"/>
    </row>
    <row r="28" ht="15.75" customHeight="1">
      <c r="A28" s="127">
        <v>46205.0</v>
      </c>
      <c r="B28" s="88" t="s">
        <v>112</v>
      </c>
      <c r="C28" s="88" t="s">
        <v>164</v>
      </c>
      <c r="D28" s="88">
        <v>26160.0</v>
      </c>
      <c r="E28" s="88">
        <v>26160.0</v>
      </c>
      <c r="F28" s="127">
        <v>46207.0</v>
      </c>
      <c r="G28" s="88" t="s">
        <v>55</v>
      </c>
      <c r="H28" s="88" t="s">
        <v>42</v>
      </c>
      <c r="I28" s="57"/>
    </row>
    <row r="29" ht="15.75" customHeight="1">
      <c r="A29" s="102">
        <v>46206.0</v>
      </c>
      <c r="B29" s="41" t="s">
        <v>16</v>
      </c>
      <c r="C29" s="41" t="s">
        <v>166</v>
      </c>
      <c r="D29" s="41">
        <v>7250.0</v>
      </c>
      <c r="E29" s="41">
        <v>7250.0</v>
      </c>
      <c r="F29" s="102">
        <v>46209.0</v>
      </c>
      <c r="G29" s="41" t="s">
        <v>55</v>
      </c>
      <c r="H29" s="41" t="s">
        <v>59</v>
      </c>
      <c r="I29" s="107"/>
    </row>
    <row r="30" ht="15.75" customHeight="1">
      <c r="A30" s="44">
        <v>46206.0</v>
      </c>
      <c r="B30" s="13" t="s">
        <v>144</v>
      </c>
      <c r="C30" s="13" t="s">
        <v>167</v>
      </c>
      <c r="D30" s="13">
        <v>3680.0</v>
      </c>
      <c r="E30" s="13">
        <v>3680.0</v>
      </c>
      <c r="F30" s="44">
        <v>46205.0</v>
      </c>
      <c r="G30" s="13" t="s">
        <v>55</v>
      </c>
      <c r="H30" s="13" t="s">
        <v>42</v>
      </c>
      <c r="I30" s="21"/>
    </row>
    <row r="31" ht="15.75" customHeight="1">
      <c r="A31" s="44">
        <v>46206.0</v>
      </c>
      <c r="B31" s="13" t="s">
        <v>149</v>
      </c>
      <c r="C31" s="13" t="s">
        <v>77</v>
      </c>
      <c r="D31" s="13">
        <v>5100.0</v>
      </c>
      <c r="E31" s="13">
        <v>5100.0</v>
      </c>
      <c r="F31" s="44">
        <v>46209.0</v>
      </c>
      <c r="G31" s="13" t="s">
        <v>55</v>
      </c>
      <c r="H31" s="13" t="s">
        <v>42</v>
      </c>
      <c r="I31" s="21"/>
    </row>
    <row r="32" ht="15.75" customHeight="1">
      <c r="A32" s="44">
        <v>46206.0</v>
      </c>
      <c r="B32" s="13" t="s">
        <v>38</v>
      </c>
      <c r="C32" s="13" t="s">
        <v>40</v>
      </c>
      <c r="D32" s="13">
        <v>1000.0</v>
      </c>
      <c r="E32" s="18">
        <v>1000.0</v>
      </c>
      <c r="F32" s="44">
        <v>46205.0</v>
      </c>
      <c r="G32" s="13" t="s">
        <v>14</v>
      </c>
      <c r="H32" s="76" t="s">
        <v>17</v>
      </c>
      <c r="I32" s="21"/>
    </row>
    <row r="33" ht="15.75" customHeight="1">
      <c r="A33" s="44">
        <v>46206.0</v>
      </c>
      <c r="B33" s="13" t="s">
        <v>38</v>
      </c>
      <c r="C33" s="13" t="s">
        <v>102</v>
      </c>
      <c r="D33" s="13">
        <v>1000.0</v>
      </c>
      <c r="E33" s="18">
        <v>1000.0</v>
      </c>
      <c r="F33" s="44">
        <v>46205.0</v>
      </c>
      <c r="G33" s="13" t="s">
        <v>14</v>
      </c>
      <c r="H33" s="76" t="s">
        <v>17</v>
      </c>
      <c r="I33" s="21"/>
    </row>
    <row r="34" ht="15.75" customHeight="1">
      <c r="A34" s="44">
        <v>46206.0</v>
      </c>
      <c r="B34" s="13" t="s">
        <v>177</v>
      </c>
      <c r="C34" s="13" t="s">
        <v>178</v>
      </c>
      <c r="D34" s="13">
        <v>225.0</v>
      </c>
      <c r="E34" s="18">
        <v>225.0</v>
      </c>
      <c r="F34" s="44">
        <v>46205.0</v>
      </c>
      <c r="G34" s="13" t="s">
        <v>14</v>
      </c>
      <c r="H34" s="76" t="s">
        <v>17</v>
      </c>
      <c r="I34" s="21"/>
    </row>
    <row r="35" ht="15.75" customHeight="1">
      <c r="A35" s="44">
        <v>46206.0</v>
      </c>
      <c r="B35" s="13" t="s">
        <v>25</v>
      </c>
      <c r="C35" s="13" t="s">
        <v>181</v>
      </c>
      <c r="D35" s="13">
        <v>70.0</v>
      </c>
      <c r="E35" s="18">
        <v>70.0</v>
      </c>
      <c r="F35" s="44">
        <v>46205.0</v>
      </c>
      <c r="G35" s="13" t="s">
        <v>14</v>
      </c>
      <c r="H35" s="76" t="s">
        <v>17</v>
      </c>
      <c r="I35" s="21"/>
    </row>
    <row r="36" ht="15.75" customHeight="1">
      <c r="A36" s="44">
        <v>46206.0</v>
      </c>
      <c r="B36" s="13" t="s">
        <v>10</v>
      </c>
      <c r="C36" s="13" t="s">
        <v>184</v>
      </c>
      <c r="D36" s="13">
        <v>240.0</v>
      </c>
      <c r="E36" s="18">
        <v>240.0</v>
      </c>
      <c r="F36" s="44">
        <v>46205.0</v>
      </c>
      <c r="G36" s="13" t="s">
        <v>14</v>
      </c>
      <c r="H36" s="76" t="s">
        <v>17</v>
      </c>
      <c r="I36" s="21"/>
    </row>
    <row r="37" ht="15.75" customHeight="1">
      <c r="A37" s="44">
        <v>46206.0</v>
      </c>
      <c r="B37" s="13" t="s">
        <v>50</v>
      </c>
      <c r="C37" s="13" t="s">
        <v>186</v>
      </c>
      <c r="D37" s="13">
        <v>566.0</v>
      </c>
      <c r="E37" s="18">
        <v>566.0</v>
      </c>
      <c r="F37" s="44">
        <v>46205.0</v>
      </c>
      <c r="G37" s="13" t="s">
        <v>14</v>
      </c>
      <c r="H37" s="76" t="s">
        <v>17</v>
      </c>
      <c r="I37" s="21"/>
    </row>
    <row r="38" ht="15.75" customHeight="1">
      <c r="A38" s="127">
        <v>46206.0</v>
      </c>
      <c r="B38" s="88" t="s">
        <v>68</v>
      </c>
      <c r="C38" s="88" t="s">
        <v>189</v>
      </c>
      <c r="D38" s="88">
        <v>7930.0</v>
      </c>
      <c r="E38" s="88">
        <v>7930.0</v>
      </c>
      <c r="F38" s="127">
        <v>46205.0</v>
      </c>
      <c r="G38" s="88" t="s">
        <v>55</v>
      </c>
      <c r="H38" s="88" t="s">
        <v>42</v>
      </c>
      <c r="I38" s="57"/>
    </row>
    <row r="39" ht="15.75" customHeight="1">
      <c r="A39" s="102">
        <v>46207.0</v>
      </c>
      <c r="B39" s="41" t="s">
        <v>68</v>
      </c>
      <c r="C39" s="41" t="s">
        <v>191</v>
      </c>
      <c r="D39" s="41"/>
      <c r="E39" s="41">
        <v>4900.0</v>
      </c>
      <c r="F39" s="102">
        <v>46206.0</v>
      </c>
      <c r="G39" s="41" t="s">
        <v>55</v>
      </c>
      <c r="H39" s="41" t="s">
        <v>37</v>
      </c>
      <c r="I39" s="107"/>
    </row>
    <row r="40" ht="15.75" customHeight="1">
      <c r="A40" s="44">
        <v>46207.0</v>
      </c>
      <c r="B40" s="13" t="s">
        <v>68</v>
      </c>
      <c r="C40" s="13" t="s">
        <v>195</v>
      </c>
      <c r="D40" s="13">
        <v>14900.0</v>
      </c>
      <c r="E40" s="13">
        <v>10000.0</v>
      </c>
      <c r="F40" s="44">
        <v>46206.0</v>
      </c>
      <c r="G40" s="13" t="s">
        <v>55</v>
      </c>
      <c r="H40" s="13" t="s">
        <v>59</v>
      </c>
      <c r="I40" s="21"/>
    </row>
    <row r="41" ht="15.75" customHeight="1">
      <c r="A41" s="44">
        <v>46207.0</v>
      </c>
      <c r="B41" s="13" t="s">
        <v>38</v>
      </c>
      <c r="C41" s="13" t="s">
        <v>102</v>
      </c>
      <c r="D41" s="13">
        <v>1000.0</v>
      </c>
      <c r="E41" s="18">
        <v>1000.0</v>
      </c>
      <c r="F41" s="44">
        <v>46207.0</v>
      </c>
      <c r="G41" s="13" t="s">
        <v>14</v>
      </c>
      <c r="H41" s="76" t="s">
        <v>17</v>
      </c>
      <c r="I41" s="13"/>
      <c r="J41" s="7"/>
      <c r="K41" s="7"/>
      <c r="L41" s="126"/>
      <c r="M41" s="7"/>
      <c r="N41" s="7"/>
      <c r="O41" s="7"/>
      <c r="P41" s="7"/>
      <c r="Q41" s="7"/>
      <c r="R41" s="7"/>
      <c r="S41" s="126"/>
      <c r="T41" s="7"/>
      <c r="U41" s="7"/>
    </row>
    <row r="42" ht="15.75" customHeight="1">
      <c r="A42" s="44">
        <v>46207.0</v>
      </c>
      <c r="B42" s="13" t="s">
        <v>200</v>
      </c>
      <c r="C42" s="13" t="s">
        <v>201</v>
      </c>
      <c r="D42" s="13">
        <v>814.0</v>
      </c>
      <c r="E42" s="18">
        <v>814.0</v>
      </c>
      <c r="F42" s="44">
        <v>46116.0</v>
      </c>
      <c r="G42" s="13" t="s">
        <v>14</v>
      </c>
      <c r="H42" s="76" t="s">
        <v>17</v>
      </c>
      <c r="I42" s="21"/>
    </row>
    <row r="43" ht="15.75" customHeight="1">
      <c r="A43" s="44">
        <v>46207.0</v>
      </c>
      <c r="B43" s="13" t="s">
        <v>50</v>
      </c>
      <c r="C43" s="13" t="s">
        <v>204</v>
      </c>
      <c r="D43" s="13">
        <v>158.0</v>
      </c>
      <c r="E43" s="18">
        <v>158.0</v>
      </c>
      <c r="F43" s="44">
        <v>46207.0</v>
      </c>
      <c r="G43" s="13" t="s">
        <v>14</v>
      </c>
      <c r="H43" s="76" t="s">
        <v>17</v>
      </c>
      <c r="I43" s="21"/>
    </row>
    <row r="44" ht="15.75" customHeight="1">
      <c r="A44" s="44">
        <v>46207.0</v>
      </c>
      <c r="B44" s="13" t="s">
        <v>10</v>
      </c>
      <c r="C44" s="13" t="s">
        <v>205</v>
      </c>
      <c r="D44" s="13">
        <v>120.0</v>
      </c>
      <c r="E44" s="18">
        <v>120.0</v>
      </c>
      <c r="F44" s="44">
        <v>46207.0</v>
      </c>
      <c r="G44" s="13" t="s">
        <v>14</v>
      </c>
      <c r="H44" s="76" t="s">
        <v>17</v>
      </c>
      <c r="I44" s="21"/>
    </row>
    <row r="45" ht="15.75" customHeight="1">
      <c r="A45" s="44">
        <v>46207.0</v>
      </c>
      <c r="B45" s="13" t="s">
        <v>25</v>
      </c>
      <c r="C45" s="13" t="s">
        <v>206</v>
      </c>
      <c r="D45" s="13">
        <v>210.0</v>
      </c>
      <c r="E45" s="18">
        <v>210.0</v>
      </c>
      <c r="F45" s="44">
        <v>46207.0</v>
      </c>
      <c r="G45" s="13" t="s">
        <v>14</v>
      </c>
      <c r="H45" s="76" t="s">
        <v>17</v>
      </c>
      <c r="I45" s="21"/>
    </row>
    <row r="46" ht="15.75" customHeight="1">
      <c r="A46" s="44">
        <v>46207.0</v>
      </c>
      <c r="B46" s="13" t="s">
        <v>207</v>
      </c>
      <c r="C46" s="13" t="s">
        <v>208</v>
      </c>
      <c r="D46" s="13">
        <v>19600.0</v>
      </c>
      <c r="E46" s="18">
        <v>19600.0</v>
      </c>
      <c r="F46" s="44">
        <v>46207.0</v>
      </c>
      <c r="G46" s="13" t="s">
        <v>14</v>
      </c>
      <c r="H46" s="76" t="s">
        <v>17</v>
      </c>
      <c r="I46" s="21"/>
    </row>
    <row r="47" ht="15.75" customHeight="1">
      <c r="A47" s="44">
        <v>46207.0</v>
      </c>
      <c r="B47" s="13" t="s">
        <v>43</v>
      </c>
      <c r="C47" s="13" t="s">
        <v>210</v>
      </c>
      <c r="D47" s="18">
        <v>38100.0</v>
      </c>
      <c r="E47" s="13">
        <v>31000.0</v>
      </c>
      <c r="F47" s="44">
        <v>46213.0</v>
      </c>
      <c r="G47" s="13" t="s">
        <v>211</v>
      </c>
      <c r="H47" s="13" t="s">
        <v>56</v>
      </c>
      <c r="I47" s="21"/>
    </row>
    <row r="48" ht="15.75" customHeight="1">
      <c r="A48" s="44"/>
      <c r="B48" s="21"/>
      <c r="C48" s="21"/>
      <c r="D48" s="113"/>
      <c r="E48" s="13">
        <v>7100.0</v>
      </c>
      <c r="F48" s="44">
        <v>46213.0</v>
      </c>
      <c r="G48" s="13" t="s">
        <v>55</v>
      </c>
      <c r="H48" s="13" t="s">
        <v>56</v>
      </c>
      <c r="I48" s="21"/>
    </row>
    <row r="49" ht="15.75" customHeight="1">
      <c r="A49" s="127">
        <v>46207.0</v>
      </c>
      <c r="B49" s="88" t="s">
        <v>212</v>
      </c>
      <c r="C49" s="88" t="s">
        <v>213</v>
      </c>
      <c r="D49" s="88">
        <v>3240.0</v>
      </c>
      <c r="E49" s="88">
        <v>3240.0</v>
      </c>
      <c r="F49" s="127">
        <v>46207.0</v>
      </c>
      <c r="G49" s="88" t="s">
        <v>215</v>
      </c>
      <c r="H49" s="88" t="s">
        <v>190</v>
      </c>
      <c r="I49" s="140"/>
    </row>
    <row r="50" ht="15.75" customHeight="1">
      <c r="A50" s="102">
        <v>46208.0</v>
      </c>
      <c r="B50" s="41" t="s">
        <v>68</v>
      </c>
      <c r="C50" s="41" t="s">
        <v>219</v>
      </c>
      <c r="D50" s="41">
        <v>3770.0</v>
      </c>
      <c r="E50" s="41">
        <v>3770.0</v>
      </c>
      <c r="F50" s="102">
        <v>46207.0</v>
      </c>
      <c r="G50" s="41" t="s">
        <v>55</v>
      </c>
      <c r="H50" s="41" t="s">
        <v>42</v>
      </c>
      <c r="I50" s="107"/>
    </row>
    <row r="51" ht="15.75" customHeight="1">
      <c r="A51" s="44">
        <v>46208.0</v>
      </c>
      <c r="B51" s="13" t="s">
        <v>38</v>
      </c>
      <c r="C51" s="13" t="s">
        <v>40</v>
      </c>
      <c r="D51" s="13">
        <v>1000.0</v>
      </c>
      <c r="E51" s="18">
        <v>1000.0</v>
      </c>
      <c r="F51" s="44">
        <v>46208.0</v>
      </c>
      <c r="G51" s="13" t="s">
        <v>14</v>
      </c>
      <c r="H51" s="76" t="s">
        <v>17</v>
      </c>
      <c r="I51" s="21"/>
    </row>
    <row r="52" ht="15.75" customHeight="1">
      <c r="A52" s="44">
        <v>46208.0</v>
      </c>
      <c r="B52" s="13" t="s">
        <v>10</v>
      </c>
      <c r="C52" s="13" t="s">
        <v>223</v>
      </c>
      <c r="D52" s="13">
        <v>200.0</v>
      </c>
      <c r="E52" s="18">
        <v>200.0</v>
      </c>
      <c r="F52" s="44">
        <v>46208.0</v>
      </c>
      <c r="G52" s="13" t="s">
        <v>14</v>
      </c>
      <c r="H52" s="76" t="s">
        <v>17</v>
      </c>
      <c r="I52" s="21"/>
    </row>
    <row r="53" ht="15.75" customHeight="1">
      <c r="A53" s="44">
        <v>46208.0</v>
      </c>
      <c r="B53" s="13" t="s">
        <v>25</v>
      </c>
      <c r="C53" s="13" t="s">
        <v>206</v>
      </c>
      <c r="D53" s="13">
        <v>210.0</v>
      </c>
      <c r="E53" s="18">
        <v>210.0</v>
      </c>
      <c r="F53" s="44">
        <v>46208.0</v>
      </c>
      <c r="G53" s="13" t="s">
        <v>14</v>
      </c>
      <c r="H53" s="76" t="s">
        <v>17</v>
      </c>
      <c r="I53" s="21"/>
    </row>
    <row r="54" ht="15.75" customHeight="1">
      <c r="A54" s="44">
        <v>46208.0</v>
      </c>
      <c r="B54" s="13" t="s">
        <v>229</v>
      </c>
      <c r="C54" s="13" t="s">
        <v>231</v>
      </c>
      <c r="D54" s="13">
        <v>12692.0</v>
      </c>
      <c r="E54" s="13">
        <v>12692.0</v>
      </c>
      <c r="F54" s="44">
        <v>46209.0</v>
      </c>
      <c r="G54" s="13" t="s">
        <v>55</v>
      </c>
      <c r="H54" s="13" t="s">
        <v>56</v>
      </c>
      <c r="I54" s="21"/>
    </row>
    <row r="55" ht="15.75" customHeight="1">
      <c r="A55" s="44">
        <v>46208.0</v>
      </c>
      <c r="B55" s="13" t="s">
        <v>43</v>
      </c>
      <c r="C55" s="13" t="s">
        <v>235</v>
      </c>
      <c r="D55" s="18">
        <v>59400.0</v>
      </c>
      <c r="E55" s="13">
        <v>59400.0</v>
      </c>
      <c r="F55" s="44">
        <v>46216.0</v>
      </c>
      <c r="G55" s="13" t="s">
        <v>55</v>
      </c>
      <c r="H55" s="13" t="s">
        <v>42</v>
      </c>
      <c r="I55" s="21"/>
    </row>
    <row r="56" ht="15.75" customHeight="1">
      <c r="A56" s="145">
        <v>46208.0</v>
      </c>
      <c r="B56" s="65" t="s">
        <v>118</v>
      </c>
      <c r="C56" s="65" t="s">
        <v>239</v>
      </c>
      <c r="D56" s="65">
        <v>3240.0</v>
      </c>
      <c r="E56" s="65">
        <v>3240.0</v>
      </c>
      <c r="F56" s="145">
        <v>46207.0</v>
      </c>
      <c r="G56" s="65" t="s">
        <v>211</v>
      </c>
      <c r="H56" s="65" t="s">
        <v>190</v>
      </c>
      <c r="I56" s="97"/>
    </row>
    <row r="57" ht="15.75" customHeight="1">
      <c r="A57" s="10">
        <v>46209.0</v>
      </c>
      <c r="B57" s="95" t="s">
        <v>121</v>
      </c>
      <c r="C57" s="95" t="s">
        <v>240</v>
      </c>
      <c r="D57" s="16">
        <v>167150.0</v>
      </c>
      <c r="E57" s="95">
        <v>167150.0</v>
      </c>
      <c r="F57" s="19">
        <v>46222.0</v>
      </c>
      <c r="G57" s="95" t="s">
        <v>24</v>
      </c>
      <c r="H57" s="95" t="s">
        <v>92</v>
      </c>
      <c r="I57" s="149" t="s">
        <v>243</v>
      </c>
    </row>
    <row r="58" ht="15.75" customHeight="1">
      <c r="A58" s="30">
        <v>46209.0</v>
      </c>
      <c r="B58" s="13" t="s">
        <v>50</v>
      </c>
      <c r="C58" s="13" t="s">
        <v>246</v>
      </c>
      <c r="D58" s="13">
        <v>155.0</v>
      </c>
      <c r="E58" s="18">
        <v>155.0</v>
      </c>
      <c r="F58" s="44">
        <v>46209.0</v>
      </c>
      <c r="G58" s="13" t="s">
        <v>14</v>
      </c>
      <c r="H58" s="76" t="s">
        <v>17</v>
      </c>
      <c r="I58" s="38"/>
    </row>
    <row r="59" ht="15.75" customHeight="1">
      <c r="A59" s="30">
        <v>46209.0</v>
      </c>
      <c r="B59" s="13" t="s">
        <v>38</v>
      </c>
      <c r="C59" s="13" t="s">
        <v>40</v>
      </c>
      <c r="D59" s="13">
        <v>1000.0</v>
      </c>
      <c r="E59" s="18">
        <v>1000.0</v>
      </c>
      <c r="F59" s="44">
        <v>46209.0</v>
      </c>
      <c r="G59" s="13" t="s">
        <v>14</v>
      </c>
      <c r="H59" s="76" t="s">
        <v>17</v>
      </c>
      <c r="I59" s="38"/>
    </row>
    <row r="60" ht="15.75" customHeight="1">
      <c r="A60" s="30">
        <v>46209.0</v>
      </c>
      <c r="B60" s="13" t="s">
        <v>50</v>
      </c>
      <c r="C60" s="13" t="s">
        <v>250</v>
      </c>
      <c r="D60" s="13">
        <v>50.0</v>
      </c>
      <c r="E60" s="18">
        <v>50.0</v>
      </c>
      <c r="F60" s="44">
        <v>46209.0</v>
      </c>
      <c r="G60" s="13" t="s">
        <v>14</v>
      </c>
      <c r="H60" s="76" t="s">
        <v>17</v>
      </c>
      <c r="I60" s="38"/>
    </row>
    <row r="61" ht="15.75" customHeight="1">
      <c r="A61" s="30">
        <v>46209.0</v>
      </c>
      <c r="B61" s="13" t="s">
        <v>251</v>
      </c>
      <c r="C61" s="13" t="s">
        <v>252</v>
      </c>
      <c r="D61" s="18">
        <v>19550.0</v>
      </c>
      <c r="E61" s="13">
        <v>19550.0</v>
      </c>
      <c r="F61" s="44">
        <v>46206.0</v>
      </c>
      <c r="G61" s="13" t="s">
        <v>55</v>
      </c>
      <c r="H61" s="13" t="s">
        <v>56</v>
      </c>
      <c r="I61" s="38"/>
    </row>
    <row r="62" ht="15.75" customHeight="1">
      <c r="A62" s="30">
        <v>46209.0</v>
      </c>
      <c r="B62" s="13" t="s">
        <v>10</v>
      </c>
      <c r="C62" s="13" t="s">
        <v>205</v>
      </c>
      <c r="D62" s="13">
        <v>120.0</v>
      </c>
      <c r="E62" s="18">
        <v>120.0</v>
      </c>
      <c r="F62" s="44">
        <v>46209.0</v>
      </c>
      <c r="G62" s="13" t="s">
        <v>14</v>
      </c>
      <c r="H62" s="76" t="s">
        <v>17</v>
      </c>
      <c r="I62" s="38"/>
    </row>
    <row r="63" ht="15.75" customHeight="1">
      <c r="A63" s="30">
        <v>46209.0</v>
      </c>
      <c r="B63" s="13" t="s">
        <v>25</v>
      </c>
      <c r="C63" s="13" t="s">
        <v>253</v>
      </c>
      <c r="D63" s="13">
        <v>175.0</v>
      </c>
      <c r="E63" s="18">
        <v>175.0</v>
      </c>
      <c r="F63" s="44">
        <v>46209.0</v>
      </c>
      <c r="G63" s="13" t="s">
        <v>14</v>
      </c>
      <c r="H63" s="76" t="s">
        <v>17</v>
      </c>
      <c r="I63" s="38"/>
    </row>
    <row r="64" ht="15.75" customHeight="1">
      <c r="A64" s="151">
        <v>46209.0</v>
      </c>
      <c r="B64" s="88" t="s">
        <v>16</v>
      </c>
      <c r="C64" s="88" t="s">
        <v>256</v>
      </c>
      <c r="D64" s="91">
        <v>27200.0</v>
      </c>
      <c r="E64" s="88">
        <v>27200.0</v>
      </c>
      <c r="F64" s="127">
        <v>46216.0</v>
      </c>
      <c r="G64" s="88" t="s">
        <v>55</v>
      </c>
      <c r="H64" s="88" t="s">
        <v>257</v>
      </c>
      <c r="I64" s="64"/>
    </row>
    <row r="65" ht="15.75" customHeight="1">
      <c r="A65" s="102">
        <v>46210.0</v>
      </c>
      <c r="B65" s="41" t="s">
        <v>38</v>
      </c>
      <c r="C65" s="41" t="s">
        <v>40</v>
      </c>
      <c r="D65" s="41">
        <v>1000.0</v>
      </c>
      <c r="E65" s="104">
        <v>1000.0</v>
      </c>
      <c r="F65" s="102">
        <v>46210.0</v>
      </c>
      <c r="G65" s="41" t="s">
        <v>14</v>
      </c>
      <c r="H65" s="106" t="s">
        <v>17</v>
      </c>
      <c r="I65" s="107"/>
    </row>
    <row r="66" ht="15.75" customHeight="1">
      <c r="A66" s="44">
        <v>46210.0</v>
      </c>
      <c r="B66" s="13" t="s">
        <v>38</v>
      </c>
      <c r="C66" s="13" t="s">
        <v>102</v>
      </c>
      <c r="D66" s="13">
        <v>1000.0</v>
      </c>
      <c r="E66" s="18">
        <v>1000.0</v>
      </c>
      <c r="F66" s="44">
        <v>46210.0</v>
      </c>
      <c r="G66" s="13" t="s">
        <v>14</v>
      </c>
      <c r="H66" s="76" t="s">
        <v>17</v>
      </c>
      <c r="I66" s="21"/>
    </row>
    <row r="67" ht="15.75" customHeight="1">
      <c r="A67" s="44">
        <v>46210.0</v>
      </c>
      <c r="B67" s="13" t="s">
        <v>125</v>
      </c>
      <c r="C67" s="153" t="s">
        <v>264</v>
      </c>
      <c r="D67" s="18">
        <v>2490.0</v>
      </c>
      <c r="E67" s="18">
        <v>2490.0</v>
      </c>
      <c r="F67" s="44">
        <v>46210.0</v>
      </c>
      <c r="G67" s="13" t="s">
        <v>14</v>
      </c>
      <c r="H67" s="76" t="s">
        <v>17</v>
      </c>
      <c r="I67" s="21"/>
    </row>
    <row r="68" ht="15.75" customHeight="1">
      <c r="A68" s="44">
        <v>46210.0</v>
      </c>
      <c r="B68" s="13" t="s">
        <v>10</v>
      </c>
      <c r="C68" s="13" t="s">
        <v>205</v>
      </c>
      <c r="D68" s="18">
        <v>120.0</v>
      </c>
      <c r="E68" s="18">
        <v>120.0</v>
      </c>
      <c r="F68" s="44">
        <v>46210.0</v>
      </c>
      <c r="G68" s="13" t="s">
        <v>14</v>
      </c>
      <c r="H68" s="76" t="s">
        <v>17</v>
      </c>
      <c r="I68" s="21"/>
    </row>
    <row r="69" ht="15.75" customHeight="1">
      <c r="A69" s="44">
        <v>46210.0</v>
      </c>
      <c r="B69" s="13" t="s">
        <v>25</v>
      </c>
      <c r="C69" s="13" t="s">
        <v>266</v>
      </c>
      <c r="D69" s="18">
        <v>140.0</v>
      </c>
      <c r="E69" s="18">
        <v>140.0</v>
      </c>
      <c r="F69" s="44">
        <v>46210.0</v>
      </c>
      <c r="G69" s="13" t="s">
        <v>14</v>
      </c>
      <c r="H69" s="76" t="s">
        <v>17</v>
      </c>
      <c r="I69" s="21"/>
    </row>
    <row r="70" ht="15.75" customHeight="1">
      <c r="A70" s="44">
        <v>46210.0</v>
      </c>
      <c r="B70" s="13" t="s">
        <v>267</v>
      </c>
      <c r="C70" s="13" t="s">
        <v>268</v>
      </c>
      <c r="D70" s="33">
        <v>7014.6</v>
      </c>
      <c r="E70" s="13">
        <v>7014.0</v>
      </c>
      <c r="F70" s="44">
        <v>46216.0</v>
      </c>
      <c r="G70" s="13" t="s">
        <v>55</v>
      </c>
      <c r="H70" s="13" t="s">
        <v>56</v>
      </c>
      <c r="I70" s="21"/>
    </row>
    <row r="71" ht="15.75" customHeight="1">
      <c r="A71" s="44">
        <v>46210.0</v>
      </c>
      <c r="B71" s="13" t="s">
        <v>269</v>
      </c>
      <c r="C71" s="13" t="s">
        <v>270</v>
      </c>
      <c r="D71" s="13">
        <v>15000.0</v>
      </c>
      <c r="E71" s="13">
        <v>15000.0</v>
      </c>
      <c r="F71" s="44">
        <v>46210.0</v>
      </c>
      <c r="G71" s="13" t="s">
        <v>271</v>
      </c>
      <c r="H71" s="13" t="s">
        <v>42</v>
      </c>
      <c r="I71" s="156"/>
    </row>
    <row r="72" ht="15.75" customHeight="1">
      <c r="A72" s="145">
        <v>46210.0</v>
      </c>
      <c r="B72" s="65" t="s">
        <v>68</v>
      </c>
      <c r="C72" s="65" t="s">
        <v>272</v>
      </c>
      <c r="D72" s="70">
        <v>3715.0</v>
      </c>
      <c r="E72" s="65">
        <v>3715.0</v>
      </c>
      <c r="F72" s="145">
        <v>46209.0</v>
      </c>
      <c r="G72" s="65" t="s">
        <v>55</v>
      </c>
      <c r="H72" s="65" t="s">
        <v>42</v>
      </c>
      <c r="I72" s="97"/>
    </row>
    <row r="73" ht="15.75" customHeight="1">
      <c r="A73" s="10">
        <v>46211.0</v>
      </c>
      <c r="B73" s="95" t="s">
        <v>38</v>
      </c>
      <c r="C73" s="95" t="s">
        <v>102</v>
      </c>
      <c r="D73" s="16">
        <v>500.0</v>
      </c>
      <c r="E73" s="16">
        <v>500.0</v>
      </c>
      <c r="F73" s="19">
        <v>46211.0</v>
      </c>
      <c r="G73" s="95" t="s">
        <v>14</v>
      </c>
      <c r="H73" s="23" t="s">
        <v>17</v>
      </c>
      <c r="I73" s="27"/>
    </row>
    <row r="74" ht="15.75" customHeight="1">
      <c r="A74" s="30">
        <v>46211.0</v>
      </c>
      <c r="B74" s="13" t="s">
        <v>275</v>
      </c>
      <c r="C74" s="13" t="s">
        <v>276</v>
      </c>
      <c r="D74" s="18">
        <v>942.0</v>
      </c>
      <c r="E74" s="18">
        <v>942.0</v>
      </c>
      <c r="F74" s="44">
        <v>46211.0</v>
      </c>
      <c r="G74" s="13" t="s">
        <v>14</v>
      </c>
      <c r="H74" s="76" t="s">
        <v>17</v>
      </c>
      <c r="I74" s="38"/>
    </row>
    <row r="75" ht="15.75" customHeight="1">
      <c r="A75" s="30">
        <v>46211.0</v>
      </c>
      <c r="B75" s="13" t="s">
        <v>236</v>
      </c>
      <c r="C75" s="13" t="s">
        <v>279</v>
      </c>
      <c r="D75" s="18">
        <v>957.0</v>
      </c>
      <c r="E75" s="18">
        <v>957.0</v>
      </c>
      <c r="F75" s="44">
        <v>46211.0</v>
      </c>
      <c r="G75" s="13" t="s">
        <v>14</v>
      </c>
      <c r="H75" s="76" t="s">
        <v>17</v>
      </c>
      <c r="I75" s="38"/>
    </row>
    <row r="76" ht="15.75" customHeight="1">
      <c r="A76" s="30">
        <v>46211.0</v>
      </c>
      <c r="B76" s="13" t="s">
        <v>10</v>
      </c>
      <c r="C76" s="13" t="s">
        <v>282</v>
      </c>
      <c r="D76" s="13">
        <v>80.0</v>
      </c>
      <c r="E76" s="18">
        <v>80.0</v>
      </c>
      <c r="F76" s="44">
        <v>46211.0</v>
      </c>
      <c r="G76" s="13" t="s">
        <v>14</v>
      </c>
      <c r="H76" s="76" t="s">
        <v>17</v>
      </c>
      <c r="I76" s="38"/>
    </row>
    <row r="77" ht="15.75" customHeight="1">
      <c r="A77" s="30">
        <v>46211.0</v>
      </c>
      <c r="B77" s="13" t="s">
        <v>25</v>
      </c>
      <c r="C77" s="13" t="s">
        <v>284</v>
      </c>
      <c r="D77" s="13">
        <v>280.0</v>
      </c>
      <c r="E77" s="18">
        <v>280.0</v>
      </c>
      <c r="F77" s="44">
        <v>46211.0</v>
      </c>
      <c r="G77" s="13" t="s">
        <v>14</v>
      </c>
      <c r="H77" s="76" t="s">
        <v>17</v>
      </c>
      <c r="I77" s="38"/>
    </row>
    <row r="78" ht="15.75" customHeight="1">
      <c r="A78" s="30">
        <v>46211.0</v>
      </c>
      <c r="B78" s="13" t="s">
        <v>52</v>
      </c>
      <c r="C78" s="13" t="s">
        <v>287</v>
      </c>
      <c r="D78" s="18">
        <v>29990.0</v>
      </c>
      <c r="E78" s="18">
        <v>29990.0</v>
      </c>
      <c r="F78" s="44">
        <v>46211.0</v>
      </c>
      <c r="G78" s="13" t="s">
        <v>14</v>
      </c>
      <c r="H78" s="76" t="s">
        <v>17</v>
      </c>
      <c r="I78" s="38"/>
    </row>
    <row r="79" ht="15.75" customHeight="1">
      <c r="A79" s="30">
        <v>46211.0</v>
      </c>
      <c r="B79" s="13" t="s">
        <v>288</v>
      </c>
      <c r="C79" s="13" t="s">
        <v>289</v>
      </c>
      <c r="D79" s="18">
        <v>5000.0</v>
      </c>
      <c r="E79" s="13">
        <v>5000.0</v>
      </c>
      <c r="F79" s="44">
        <v>46214.0</v>
      </c>
      <c r="G79" s="13" t="s">
        <v>55</v>
      </c>
      <c r="H79" s="13" t="s">
        <v>42</v>
      </c>
      <c r="I79" s="38"/>
    </row>
    <row r="80" ht="15.75" customHeight="1">
      <c r="A80" s="30">
        <v>46211.0</v>
      </c>
      <c r="B80" s="13" t="s">
        <v>292</v>
      </c>
      <c r="C80" s="13" t="s">
        <v>293</v>
      </c>
      <c r="D80" s="18">
        <v>2640.0</v>
      </c>
      <c r="E80" s="18">
        <v>2640.0</v>
      </c>
      <c r="F80" s="44">
        <v>46211.0</v>
      </c>
      <c r="G80" s="13" t="s">
        <v>14</v>
      </c>
      <c r="H80" s="76" t="s">
        <v>17</v>
      </c>
      <c r="I80" s="38"/>
    </row>
    <row r="81" ht="15.75" customHeight="1">
      <c r="A81" s="30">
        <v>46211.0</v>
      </c>
      <c r="B81" s="13" t="s">
        <v>207</v>
      </c>
      <c r="C81" s="13" t="s">
        <v>297</v>
      </c>
      <c r="D81" s="18">
        <v>25000.0</v>
      </c>
      <c r="E81" s="13">
        <v>25000.0</v>
      </c>
      <c r="F81" s="44">
        <v>46211.0</v>
      </c>
      <c r="G81" s="13" t="s">
        <v>298</v>
      </c>
      <c r="H81" s="13" t="s">
        <v>190</v>
      </c>
      <c r="I81" s="38"/>
    </row>
    <row r="82" ht="15.75" customHeight="1">
      <c r="A82" s="151">
        <v>46211.0</v>
      </c>
      <c r="B82" s="88" t="s">
        <v>248</v>
      </c>
      <c r="C82" s="88" t="s">
        <v>299</v>
      </c>
      <c r="D82" s="91">
        <v>720.0</v>
      </c>
      <c r="E82" s="91">
        <v>720.0</v>
      </c>
      <c r="F82" s="127">
        <v>46211.0</v>
      </c>
      <c r="G82" s="88" t="s">
        <v>14</v>
      </c>
      <c r="H82" s="101" t="s">
        <v>17</v>
      </c>
      <c r="I82" s="64"/>
    </row>
    <row r="83" ht="15.75" customHeight="1">
      <c r="A83" s="102">
        <v>46212.0</v>
      </c>
      <c r="B83" s="41" t="s">
        <v>301</v>
      </c>
      <c r="C83" s="41" t="s">
        <v>303</v>
      </c>
      <c r="D83" s="161">
        <v>7910.0</v>
      </c>
      <c r="E83" s="41">
        <v>7910.0</v>
      </c>
      <c r="F83" s="102">
        <v>46212.0</v>
      </c>
      <c r="G83" s="41" t="s">
        <v>55</v>
      </c>
      <c r="H83" s="41" t="s">
        <v>56</v>
      </c>
      <c r="I83" s="107"/>
    </row>
    <row r="84" ht="15.75" customHeight="1">
      <c r="A84" s="44">
        <v>46212.0</v>
      </c>
      <c r="B84" s="13" t="s">
        <v>305</v>
      </c>
      <c r="C84" s="13" t="s">
        <v>306</v>
      </c>
      <c r="D84" s="33">
        <v>5040.0</v>
      </c>
      <c r="E84" s="13">
        <v>5040.0</v>
      </c>
      <c r="F84" s="44">
        <v>46212.0</v>
      </c>
      <c r="G84" s="13" t="s">
        <v>307</v>
      </c>
      <c r="H84" s="13" t="s">
        <v>307</v>
      </c>
      <c r="I84" s="21"/>
    </row>
    <row r="85" ht="15.75" customHeight="1">
      <c r="A85" s="44">
        <v>46212.0</v>
      </c>
      <c r="B85" s="13" t="s">
        <v>38</v>
      </c>
      <c r="C85" s="13" t="s">
        <v>40</v>
      </c>
      <c r="D85" s="33">
        <v>1000.0</v>
      </c>
      <c r="E85" s="18">
        <v>1000.0</v>
      </c>
      <c r="F85" s="44">
        <v>46212.0</v>
      </c>
      <c r="G85" s="13" t="s">
        <v>14</v>
      </c>
      <c r="H85" s="76" t="s">
        <v>17</v>
      </c>
      <c r="I85" s="21"/>
    </row>
    <row r="86" ht="15.75" customHeight="1">
      <c r="A86" s="44">
        <v>46212.0</v>
      </c>
      <c r="B86" s="13" t="s">
        <v>38</v>
      </c>
      <c r="C86" s="13" t="s">
        <v>102</v>
      </c>
      <c r="D86" s="33">
        <v>1000.0</v>
      </c>
      <c r="E86" s="18">
        <v>1000.0</v>
      </c>
      <c r="F86" s="44">
        <v>46212.0</v>
      </c>
      <c r="G86" s="13" t="s">
        <v>14</v>
      </c>
      <c r="H86" s="76" t="s">
        <v>17</v>
      </c>
      <c r="I86" s="21"/>
    </row>
    <row r="87" ht="15.75" customHeight="1">
      <c r="A87" s="44">
        <v>46212.0</v>
      </c>
      <c r="B87" s="13" t="s">
        <v>318</v>
      </c>
      <c r="C87" s="13" t="s">
        <v>319</v>
      </c>
      <c r="D87" s="18">
        <v>400.0</v>
      </c>
      <c r="E87" s="18">
        <v>400.0</v>
      </c>
      <c r="F87" s="44">
        <v>46212.0</v>
      </c>
      <c r="G87" s="13" t="s">
        <v>14</v>
      </c>
      <c r="H87" s="76" t="s">
        <v>17</v>
      </c>
      <c r="I87" s="21"/>
    </row>
    <row r="88" ht="15.75" customHeight="1">
      <c r="A88" s="44">
        <v>46212.0</v>
      </c>
      <c r="B88" s="13" t="s">
        <v>50</v>
      </c>
      <c r="C88" s="13" t="s">
        <v>323</v>
      </c>
      <c r="D88" s="18">
        <v>25.0</v>
      </c>
      <c r="E88" s="18">
        <v>25.0</v>
      </c>
      <c r="F88" s="44">
        <v>46212.0</v>
      </c>
      <c r="G88" s="13" t="s">
        <v>14</v>
      </c>
      <c r="H88" s="76" t="s">
        <v>17</v>
      </c>
      <c r="I88" s="21"/>
    </row>
    <row r="89" ht="15.75" customHeight="1">
      <c r="A89" s="44">
        <v>46212.0</v>
      </c>
      <c r="B89" s="13" t="s">
        <v>324</v>
      </c>
      <c r="C89" s="13" t="s">
        <v>325</v>
      </c>
      <c r="D89" s="18">
        <v>2658.0</v>
      </c>
      <c r="E89" s="18">
        <v>2658.0</v>
      </c>
      <c r="F89" s="44">
        <v>46212.0</v>
      </c>
      <c r="G89" s="13" t="s">
        <v>14</v>
      </c>
      <c r="H89" s="76" t="s">
        <v>17</v>
      </c>
      <c r="I89" s="21"/>
    </row>
    <row r="90" ht="15.75" customHeight="1">
      <c r="A90" s="44">
        <v>46212.0</v>
      </c>
      <c r="B90" s="13" t="s">
        <v>327</v>
      </c>
      <c r="C90" s="13" t="s">
        <v>328</v>
      </c>
      <c r="D90" s="18">
        <v>60.0</v>
      </c>
      <c r="E90" s="18">
        <v>60.0</v>
      </c>
      <c r="F90" s="44">
        <v>46212.0</v>
      </c>
      <c r="G90" s="13" t="s">
        <v>14</v>
      </c>
      <c r="H90" s="76" t="s">
        <v>17</v>
      </c>
      <c r="I90" s="21"/>
    </row>
    <row r="91" ht="15.75" customHeight="1">
      <c r="A91" s="44">
        <v>46212.0</v>
      </c>
      <c r="B91" s="13" t="s">
        <v>10</v>
      </c>
      <c r="C91" s="13" t="s">
        <v>315</v>
      </c>
      <c r="D91" s="18">
        <v>140.0</v>
      </c>
      <c r="E91" s="18">
        <v>140.0</v>
      </c>
      <c r="F91" s="44">
        <v>46212.0</v>
      </c>
      <c r="G91" s="13" t="s">
        <v>14</v>
      </c>
      <c r="H91" s="76" t="s">
        <v>17</v>
      </c>
      <c r="I91" s="21"/>
    </row>
    <row r="92" ht="15.75" customHeight="1">
      <c r="A92" s="44">
        <v>46212.0</v>
      </c>
      <c r="B92" s="13" t="s">
        <v>25</v>
      </c>
      <c r="C92" s="13" t="s">
        <v>333</v>
      </c>
      <c r="D92" s="18">
        <v>175.0</v>
      </c>
      <c r="E92" s="18">
        <v>175.0</v>
      </c>
      <c r="F92" s="44">
        <v>46212.0</v>
      </c>
      <c r="G92" s="13" t="s">
        <v>14</v>
      </c>
      <c r="H92" s="76" t="s">
        <v>17</v>
      </c>
      <c r="I92" s="21"/>
    </row>
    <row r="93" ht="15.75" customHeight="1">
      <c r="A93" s="44">
        <v>46212.0</v>
      </c>
      <c r="B93" s="13" t="s">
        <v>337</v>
      </c>
      <c r="C93" s="13" t="s">
        <v>338</v>
      </c>
      <c r="D93" s="18">
        <v>130.0</v>
      </c>
      <c r="E93" s="18">
        <v>130.0</v>
      </c>
      <c r="F93" s="44">
        <v>46212.0</v>
      </c>
      <c r="G93" s="13" t="s">
        <v>14</v>
      </c>
      <c r="H93" s="76" t="s">
        <v>17</v>
      </c>
      <c r="I93" s="21"/>
      <c r="M93" s="166"/>
    </row>
    <row r="94" ht="15.75" customHeight="1">
      <c r="A94" s="44">
        <v>46212.0</v>
      </c>
      <c r="B94" s="13" t="s">
        <v>101</v>
      </c>
      <c r="C94" s="81" t="s">
        <v>214</v>
      </c>
      <c r="D94" s="18">
        <v>2000.0</v>
      </c>
      <c r="E94" s="18">
        <v>2000.0</v>
      </c>
      <c r="F94" s="44">
        <v>46212.0</v>
      </c>
      <c r="G94" s="13" t="s">
        <v>14</v>
      </c>
      <c r="H94" s="76" t="s">
        <v>17</v>
      </c>
      <c r="I94" s="21"/>
    </row>
    <row r="95" ht="15.75" customHeight="1">
      <c r="A95" s="44">
        <v>46212.0</v>
      </c>
      <c r="B95" s="13" t="s">
        <v>340</v>
      </c>
      <c r="C95" s="13" t="s">
        <v>341</v>
      </c>
      <c r="D95" s="33">
        <v>15000.0</v>
      </c>
      <c r="E95" s="13">
        <v>15000.0</v>
      </c>
      <c r="F95" s="44">
        <v>46210.0</v>
      </c>
      <c r="G95" s="13" t="s">
        <v>55</v>
      </c>
      <c r="H95" s="13" t="s">
        <v>37</v>
      </c>
      <c r="I95" s="21"/>
    </row>
    <row r="96" ht="15.75" customHeight="1">
      <c r="A96" s="145">
        <v>46212.0</v>
      </c>
      <c r="B96" s="65" t="s">
        <v>152</v>
      </c>
      <c r="C96" s="65" t="s">
        <v>346</v>
      </c>
      <c r="D96" s="168">
        <v>4440.0</v>
      </c>
      <c r="E96" s="65">
        <v>4440.0</v>
      </c>
      <c r="F96" s="145">
        <v>46211.0</v>
      </c>
      <c r="G96" s="65" t="s">
        <v>55</v>
      </c>
      <c r="H96" s="65" t="s">
        <v>42</v>
      </c>
      <c r="I96" s="97"/>
    </row>
    <row r="97" ht="15.75" customHeight="1">
      <c r="A97" s="10">
        <v>46213.0</v>
      </c>
      <c r="B97" s="95" t="s">
        <v>347</v>
      </c>
      <c r="C97" s="95" t="s">
        <v>348</v>
      </c>
      <c r="D97" s="17">
        <v>2980.0</v>
      </c>
      <c r="E97" s="95">
        <v>2980.0</v>
      </c>
      <c r="F97" s="19">
        <v>46226.0</v>
      </c>
      <c r="G97" s="95" t="s">
        <v>55</v>
      </c>
      <c r="H97" s="95" t="s">
        <v>56</v>
      </c>
      <c r="I97" s="27"/>
    </row>
    <row r="98" ht="15.75" customHeight="1">
      <c r="A98" s="30">
        <v>46213.0</v>
      </c>
      <c r="B98" s="13" t="s">
        <v>38</v>
      </c>
      <c r="C98" s="13" t="s">
        <v>40</v>
      </c>
      <c r="D98" s="13">
        <v>1000.0</v>
      </c>
      <c r="E98" s="18">
        <v>1000.0</v>
      </c>
      <c r="F98" s="44">
        <v>46213.0</v>
      </c>
      <c r="G98" s="13" t="s">
        <v>14</v>
      </c>
      <c r="H98" s="76" t="s">
        <v>17</v>
      </c>
      <c r="I98" s="38"/>
    </row>
    <row r="99" ht="15.75" customHeight="1">
      <c r="A99" s="30">
        <v>46213.0</v>
      </c>
      <c r="B99" s="13" t="s">
        <v>217</v>
      </c>
      <c r="C99" s="13" t="s">
        <v>353</v>
      </c>
      <c r="D99" s="33">
        <v>1375.0</v>
      </c>
      <c r="E99" s="18">
        <v>1375.0</v>
      </c>
      <c r="F99" s="44">
        <v>46213.0</v>
      </c>
      <c r="G99" s="13" t="s">
        <v>14</v>
      </c>
      <c r="H99" s="76" t="s">
        <v>17</v>
      </c>
      <c r="I99" s="38"/>
    </row>
    <row r="100" ht="15.75" customHeight="1">
      <c r="A100" s="30">
        <v>46213.0</v>
      </c>
      <c r="B100" s="13" t="s">
        <v>10</v>
      </c>
      <c r="C100" s="13" t="s">
        <v>315</v>
      </c>
      <c r="D100" s="33">
        <v>140.0</v>
      </c>
      <c r="E100" s="18">
        <v>140.0</v>
      </c>
      <c r="F100" s="44">
        <v>46213.0</v>
      </c>
      <c r="G100" s="13" t="s">
        <v>14</v>
      </c>
      <c r="H100" s="76" t="s">
        <v>17</v>
      </c>
      <c r="I100" s="38"/>
    </row>
    <row r="101" ht="15.75" customHeight="1">
      <c r="A101" s="151">
        <v>46213.0</v>
      </c>
      <c r="B101" s="88" t="s">
        <v>25</v>
      </c>
      <c r="C101" s="88" t="s">
        <v>354</v>
      </c>
      <c r="D101" s="173">
        <v>210.0</v>
      </c>
      <c r="E101" s="91">
        <v>210.0</v>
      </c>
      <c r="F101" s="127">
        <v>46213.0</v>
      </c>
      <c r="G101" s="88" t="s">
        <v>14</v>
      </c>
      <c r="H101" s="101" t="s">
        <v>17</v>
      </c>
      <c r="I101" s="64"/>
    </row>
    <row r="102" ht="15.75" customHeight="1">
      <c r="A102" s="102">
        <v>46214.0</v>
      </c>
      <c r="B102" s="41" t="s">
        <v>275</v>
      </c>
      <c r="C102" s="41" t="s">
        <v>356</v>
      </c>
      <c r="D102" s="161">
        <v>447.0</v>
      </c>
      <c r="E102" s="104">
        <v>447.0</v>
      </c>
      <c r="F102" s="102">
        <v>46214.0</v>
      </c>
      <c r="G102" s="41" t="s">
        <v>14</v>
      </c>
      <c r="H102" s="106" t="s">
        <v>17</v>
      </c>
      <c r="I102" s="107"/>
    </row>
    <row r="103" ht="15.75" customHeight="1">
      <c r="A103" s="44">
        <v>46214.0</v>
      </c>
      <c r="B103" s="13" t="s">
        <v>38</v>
      </c>
      <c r="C103" s="13" t="s">
        <v>40</v>
      </c>
      <c r="D103" s="13">
        <v>1000.0</v>
      </c>
      <c r="E103" s="18">
        <v>1000.0</v>
      </c>
      <c r="F103" s="44">
        <v>46214.0</v>
      </c>
      <c r="G103" s="13" t="s">
        <v>14</v>
      </c>
      <c r="H103" s="76" t="s">
        <v>17</v>
      </c>
      <c r="I103" s="21"/>
    </row>
    <row r="104" ht="15.75" customHeight="1">
      <c r="A104" s="44">
        <v>46214.0</v>
      </c>
      <c r="B104" s="13" t="s">
        <v>38</v>
      </c>
      <c r="C104" s="13" t="s">
        <v>362</v>
      </c>
      <c r="D104" s="13">
        <v>1000.0</v>
      </c>
      <c r="E104" s="18">
        <v>1000.0</v>
      </c>
      <c r="F104" s="44">
        <v>46214.0</v>
      </c>
      <c r="G104" s="13" t="s">
        <v>14</v>
      </c>
      <c r="H104" s="76" t="s">
        <v>17</v>
      </c>
      <c r="I104" s="21"/>
    </row>
    <row r="105" ht="15.75" customHeight="1">
      <c r="A105" s="44">
        <v>46214.0</v>
      </c>
      <c r="B105" s="13" t="s">
        <v>365</v>
      </c>
      <c r="C105" s="13" t="s">
        <v>366</v>
      </c>
      <c r="D105" s="33">
        <v>2500.0</v>
      </c>
      <c r="E105" s="18">
        <v>2500.0</v>
      </c>
      <c r="F105" s="44">
        <v>46214.0</v>
      </c>
      <c r="G105" s="13" t="s">
        <v>14</v>
      </c>
      <c r="H105" s="76" t="s">
        <v>17</v>
      </c>
      <c r="I105" s="21"/>
    </row>
    <row r="106" ht="15.75" customHeight="1">
      <c r="A106" s="44">
        <v>46214.0</v>
      </c>
      <c r="B106" s="13" t="s">
        <v>10</v>
      </c>
      <c r="C106" s="13" t="s">
        <v>315</v>
      </c>
      <c r="D106" s="33">
        <v>140.0</v>
      </c>
      <c r="E106" s="18">
        <v>140.0</v>
      </c>
      <c r="F106" s="44">
        <v>46214.0</v>
      </c>
      <c r="G106" s="13" t="s">
        <v>14</v>
      </c>
      <c r="H106" s="76" t="s">
        <v>17</v>
      </c>
      <c r="I106" s="21"/>
    </row>
    <row r="107" ht="15.75" customHeight="1">
      <c r="A107" s="44">
        <v>46214.0</v>
      </c>
      <c r="B107" s="13" t="s">
        <v>25</v>
      </c>
      <c r="C107" s="13" t="s">
        <v>374</v>
      </c>
      <c r="D107" s="33">
        <v>315.0</v>
      </c>
      <c r="E107" s="18">
        <v>315.0</v>
      </c>
      <c r="F107" s="44">
        <v>46214.0</v>
      </c>
      <c r="G107" s="13" t="s">
        <v>14</v>
      </c>
      <c r="H107" s="76" t="s">
        <v>17</v>
      </c>
      <c r="I107" s="21"/>
    </row>
    <row r="108" ht="15.75" customHeight="1">
      <c r="A108" s="44">
        <v>46214.0</v>
      </c>
      <c r="B108" s="13" t="s">
        <v>43</v>
      </c>
      <c r="C108" s="13" t="s">
        <v>379</v>
      </c>
      <c r="D108" s="33">
        <v>53600.0</v>
      </c>
      <c r="E108" s="13">
        <v>53600.0</v>
      </c>
      <c r="F108" s="44">
        <v>46218.0</v>
      </c>
      <c r="G108" s="13" t="s">
        <v>55</v>
      </c>
      <c r="H108" s="13" t="s">
        <v>42</v>
      </c>
      <c r="I108" s="21"/>
    </row>
    <row r="109" ht="15.75" customHeight="1">
      <c r="A109" s="145">
        <v>46214.0</v>
      </c>
      <c r="B109" s="65" t="s">
        <v>52</v>
      </c>
      <c r="C109" s="65" t="s">
        <v>383</v>
      </c>
      <c r="D109" s="168">
        <v>28200.0</v>
      </c>
      <c r="E109" s="70">
        <v>28200.0</v>
      </c>
      <c r="F109" s="145">
        <v>46214.0</v>
      </c>
      <c r="G109" s="65" t="s">
        <v>14</v>
      </c>
      <c r="H109" s="72" t="s">
        <v>17</v>
      </c>
      <c r="I109" s="97"/>
    </row>
    <row r="110" ht="15.75" customHeight="1">
      <c r="A110" s="10">
        <v>46215.0</v>
      </c>
      <c r="B110" s="95" t="s">
        <v>384</v>
      </c>
      <c r="C110" s="95" t="s">
        <v>386</v>
      </c>
      <c r="D110" s="17"/>
      <c r="E110" s="95">
        <v>5.0</v>
      </c>
      <c r="F110" s="19">
        <v>46214.0</v>
      </c>
      <c r="G110" s="95" t="s">
        <v>388</v>
      </c>
      <c r="H110" s="95" t="s">
        <v>190</v>
      </c>
      <c r="I110" s="27"/>
    </row>
    <row r="111" ht="15.75" customHeight="1">
      <c r="A111" s="30">
        <v>46215.0</v>
      </c>
      <c r="B111" s="13" t="s">
        <v>384</v>
      </c>
      <c r="C111" s="13" t="s">
        <v>391</v>
      </c>
      <c r="D111" s="18">
        <v>8010.0</v>
      </c>
      <c r="E111" s="13">
        <v>8005.0</v>
      </c>
      <c r="F111" s="44">
        <v>46214.0</v>
      </c>
      <c r="G111" s="13" t="s">
        <v>55</v>
      </c>
      <c r="H111" s="13" t="s">
        <v>56</v>
      </c>
      <c r="I111" s="38"/>
    </row>
    <row r="112" ht="15.75" customHeight="1">
      <c r="A112" s="30">
        <v>46215.0</v>
      </c>
      <c r="B112" s="13" t="s">
        <v>392</v>
      </c>
      <c r="C112" s="13" t="s">
        <v>393</v>
      </c>
      <c r="D112" s="18">
        <v>5100.0</v>
      </c>
      <c r="E112" s="18">
        <v>5100.0</v>
      </c>
      <c r="F112" s="13">
        <v>5100.0</v>
      </c>
      <c r="G112" s="13" t="s">
        <v>14</v>
      </c>
      <c r="H112" s="76" t="s">
        <v>17</v>
      </c>
      <c r="I112" s="38"/>
    </row>
    <row r="113" ht="15.75" customHeight="1">
      <c r="A113" s="30">
        <v>46215.0</v>
      </c>
      <c r="B113" s="13" t="s">
        <v>394</v>
      </c>
      <c r="C113" s="13" t="s">
        <v>396</v>
      </c>
      <c r="D113" s="18">
        <v>3100.0</v>
      </c>
      <c r="E113" s="13">
        <v>3100.0</v>
      </c>
      <c r="F113" s="44">
        <v>46216.0</v>
      </c>
      <c r="G113" s="13" t="s">
        <v>55</v>
      </c>
      <c r="H113" s="13" t="s">
        <v>42</v>
      </c>
      <c r="I113" s="38"/>
    </row>
    <row r="114" ht="15.75" customHeight="1">
      <c r="A114" s="30">
        <v>46215.0</v>
      </c>
      <c r="B114" s="13" t="s">
        <v>10</v>
      </c>
      <c r="C114" s="13" t="s">
        <v>315</v>
      </c>
      <c r="D114" s="18">
        <v>140.0</v>
      </c>
      <c r="E114" s="18">
        <v>140.0</v>
      </c>
      <c r="F114" s="44">
        <v>46215.0</v>
      </c>
      <c r="G114" s="13" t="s">
        <v>14</v>
      </c>
      <c r="H114" s="76" t="s">
        <v>17</v>
      </c>
      <c r="I114" s="38"/>
    </row>
    <row r="115" ht="15.75" customHeight="1">
      <c r="A115" s="30">
        <v>46215.0</v>
      </c>
      <c r="B115" s="13" t="s">
        <v>25</v>
      </c>
      <c r="C115" s="13" t="s">
        <v>333</v>
      </c>
      <c r="D115" s="18">
        <v>175.0</v>
      </c>
      <c r="E115" s="18">
        <v>175.0</v>
      </c>
      <c r="F115" s="44">
        <v>46215.0</v>
      </c>
      <c r="G115" s="13" t="s">
        <v>14</v>
      </c>
      <c r="H115" s="76" t="s">
        <v>17</v>
      </c>
      <c r="I115" s="38"/>
    </row>
    <row r="116" ht="15.75" customHeight="1">
      <c r="A116" s="30">
        <v>46215.0</v>
      </c>
      <c r="B116" s="13" t="s">
        <v>401</v>
      </c>
      <c r="C116" s="13" t="s">
        <v>402</v>
      </c>
      <c r="D116" s="18">
        <v>15480.0</v>
      </c>
      <c r="E116" s="13">
        <v>15480.0</v>
      </c>
      <c r="F116" s="44">
        <v>46216.0</v>
      </c>
      <c r="G116" s="13" t="s">
        <v>211</v>
      </c>
      <c r="H116" s="13" t="s">
        <v>190</v>
      </c>
      <c r="I116" s="38"/>
    </row>
    <row r="117" ht="15.75" customHeight="1">
      <c r="A117" s="151">
        <v>46215.0</v>
      </c>
      <c r="B117" s="88" t="s">
        <v>50</v>
      </c>
      <c r="C117" s="88" t="s">
        <v>404</v>
      </c>
      <c r="D117" s="91">
        <v>2500.0</v>
      </c>
      <c r="E117" s="91">
        <v>2500.0</v>
      </c>
      <c r="F117" s="88">
        <v>2500.0</v>
      </c>
      <c r="G117" s="88" t="s">
        <v>14</v>
      </c>
      <c r="H117" s="101" t="s">
        <v>17</v>
      </c>
      <c r="I117" s="64"/>
    </row>
    <row r="118" ht="15.75" customHeight="1">
      <c r="A118" s="102">
        <v>46216.0</v>
      </c>
      <c r="B118" s="41" t="s">
        <v>160</v>
      </c>
      <c r="C118" s="41" t="s">
        <v>408</v>
      </c>
      <c r="D118" s="104">
        <v>51784.0</v>
      </c>
      <c r="E118" s="41">
        <v>51784.0</v>
      </c>
      <c r="F118" s="102">
        <v>46220.0</v>
      </c>
      <c r="G118" s="41" t="s">
        <v>55</v>
      </c>
      <c r="H118" s="41" t="s">
        <v>42</v>
      </c>
      <c r="I118" s="107"/>
      <c r="K118" s="7">
        <v>11.0</v>
      </c>
      <c r="L118" s="7" t="s">
        <v>410</v>
      </c>
    </row>
    <row r="119" ht="15.75" customHeight="1">
      <c r="A119" s="44">
        <v>46216.0</v>
      </c>
      <c r="B119" s="13" t="s">
        <v>412</v>
      </c>
      <c r="C119" s="13" t="s">
        <v>412</v>
      </c>
      <c r="D119" s="18">
        <v>353.0</v>
      </c>
      <c r="E119" s="13">
        <v>353.0</v>
      </c>
      <c r="F119" s="21"/>
      <c r="G119" s="13" t="s">
        <v>14</v>
      </c>
      <c r="H119" s="76" t="s">
        <v>17</v>
      </c>
      <c r="I119" s="21"/>
      <c r="K119" s="7">
        <v>8.0</v>
      </c>
      <c r="L119" s="7" t="s">
        <v>415</v>
      </c>
    </row>
    <row r="120" ht="15.75" customHeight="1">
      <c r="A120" s="44">
        <v>46216.0</v>
      </c>
      <c r="B120" s="13" t="s">
        <v>38</v>
      </c>
      <c r="C120" s="13" t="s">
        <v>40</v>
      </c>
      <c r="D120" s="13">
        <v>1000.0</v>
      </c>
      <c r="E120" s="13">
        <v>1000.0</v>
      </c>
      <c r="F120" s="21"/>
      <c r="G120" s="13" t="s">
        <v>14</v>
      </c>
      <c r="H120" s="76" t="s">
        <v>17</v>
      </c>
      <c r="I120" s="21"/>
      <c r="K120" s="7">
        <v>13.0</v>
      </c>
      <c r="M120" s="7">
        <v>380.0</v>
      </c>
    </row>
    <row r="121" ht="15.75" customHeight="1">
      <c r="A121" s="44">
        <v>46216.0</v>
      </c>
      <c r="B121" s="13" t="s">
        <v>38</v>
      </c>
      <c r="C121" s="13" t="s">
        <v>362</v>
      </c>
      <c r="D121" s="18">
        <v>500.0</v>
      </c>
      <c r="E121" s="13">
        <v>500.0</v>
      </c>
      <c r="F121" s="21"/>
      <c r="G121" s="13" t="s">
        <v>14</v>
      </c>
      <c r="H121" s="76" t="s">
        <v>17</v>
      </c>
      <c r="I121" s="21"/>
      <c r="K121" s="7">
        <v>14.0</v>
      </c>
      <c r="M121" s="7">
        <v>380.0</v>
      </c>
    </row>
    <row r="122" ht="15.75" customHeight="1">
      <c r="A122" s="44">
        <v>46216.0</v>
      </c>
      <c r="B122" s="13" t="s">
        <v>101</v>
      </c>
      <c r="C122" s="81" t="s">
        <v>103</v>
      </c>
      <c r="D122" s="18">
        <v>1000.0</v>
      </c>
      <c r="E122" s="13">
        <v>1000.0</v>
      </c>
      <c r="F122" s="44">
        <v>46216.0</v>
      </c>
      <c r="G122" s="13" t="s">
        <v>14</v>
      </c>
      <c r="H122" s="76" t="s">
        <v>17</v>
      </c>
      <c r="I122" s="21"/>
      <c r="K122" s="7">
        <v>12.0</v>
      </c>
      <c r="M122" s="7">
        <v>380.0</v>
      </c>
    </row>
    <row r="123" ht="15.75" customHeight="1">
      <c r="A123" s="44">
        <v>46216.0</v>
      </c>
      <c r="B123" s="13" t="s">
        <v>25</v>
      </c>
      <c r="C123" s="13" t="s">
        <v>89</v>
      </c>
      <c r="D123" s="18">
        <v>105.0</v>
      </c>
      <c r="E123" s="13">
        <v>105.0</v>
      </c>
      <c r="F123" s="21"/>
      <c r="G123" s="13" t="s">
        <v>14</v>
      </c>
      <c r="H123" s="76" t="s">
        <v>17</v>
      </c>
      <c r="I123" s="21"/>
    </row>
    <row r="124" ht="15.75" customHeight="1">
      <c r="A124" s="44">
        <v>46216.0</v>
      </c>
      <c r="B124" s="13" t="s">
        <v>10</v>
      </c>
      <c r="C124" s="13" t="s">
        <v>315</v>
      </c>
      <c r="D124" s="18">
        <v>140.0</v>
      </c>
      <c r="E124" s="13">
        <v>140.0</v>
      </c>
      <c r="F124" s="21"/>
      <c r="G124" s="13" t="s">
        <v>14</v>
      </c>
      <c r="H124" s="76" t="s">
        <v>17</v>
      </c>
      <c r="I124" s="21"/>
    </row>
    <row r="125" ht="15.75" customHeight="1">
      <c r="A125" s="44">
        <v>46216.0</v>
      </c>
      <c r="B125" s="13" t="s">
        <v>426</v>
      </c>
      <c r="C125" s="13" t="s">
        <v>427</v>
      </c>
      <c r="D125" s="18">
        <v>720.0</v>
      </c>
      <c r="E125" s="13">
        <v>720.0</v>
      </c>
      <c r="F125" s="21"/>
      <c r="G125" s="13" t="s">
        <v>14</v>
      </c>
      <c r="H125" s="76" t="s">
        <v>17</v>
      </c>
      <c r="I125" s="21"/>
      <c r="K125" s="7">
        <v>10.0</v>
      </c>
      <c r="M125" s="7">
        <v>380.0</v>
      </c>
    </row>
    <row r="126" ht="15.75" customHeight="1">
      <c r="A126" s="44">
        <v>46216.0</v>
      </c>
      <c r="B126" s="13" t="s">
        <v>334</v>
      </c>
      <c r="C126" s="13" t="s">
        <v>178</v>
      </c>
      <c r="D126" s="18">
        <v>225.0</v>
      </c>
      <c r="E126" s="13">
        <v>225.0</v>
      </c>
      <c r="F126" s="21"/>
      <c r="G126" s="13" t="s">
        <v>14</v>
      </c>
      <c r="H126" s="76" t="s">
        <v>17</v>
      </c>
      <c r="I126" s="21"/>
      <c r="K126" s="21"/>
      <c r="L126" s="13" t="s">
        <v>14</v>
      </c>
      <c r="M126" s="182">
        <f>SUM(M119:M125)</f>
        <v>1520</v>
      </c>
    </row>
    <row r="127" ht="15.75" customHeight="1">
      <c r="A127" s="44">
        <v>46216.0</v>
      </c>
      <c r="B127" s="13" t="s">
        <v>275</v>
      </c>
      <c r="C127" s="13" t="s">
        <v>433</v>
      </c>
      <c r="D127" s="18">
        <v>332.0</v>
      </c>
      <c r="E127" s="13">
        <v>332.0</v>
      </c>
      <c r="F127" s="21"/>
      <c r="G127" s="13" t="s">
        <v>14</v>
      </c>
      <c r="H127" s="76" t="s">
        <v>17</v>
      </c>
      <c r="I127" s="21"/>
      <c r="K127" s="13">
        <v>9.0</v>
      </c>
      <c r="L127" s="21"/>
      <c r="M127" s="13">
        <v>380.0</v>
      </c>
    </row>
    <row r="128" ht="15.75" customHeight="1">
      <c r="A128" s="145">
        <v>46216.0</v>
      </c>
      <c r="B128" s="65" t="s">
        <v>248</v>
      </c>
      <c r="C128" s="65" t="s">
        <v>435</v>
      </c>
      <c r="D128" s="70">
        <v>170.0</v>
      </c>
      <c r="E128" s="65">
        <v>170.0</v>
      </c>
      <c r="F128" s="97"/>
      <c r="G128" s="65" t="s">
        <v>14</v>
      </c>
      <c r="H128" s="72" t="s">
        <v>17</v>
      </c>
      <c r="I128" s="97"/>
      <c r="K128" s="183"/>
      <c r="L128" s="184" t="s">
        <v>439</v>
      </c>
      <c r="M128" s="183"/>
    </row>
    <row r="129" ht="15.75" customHeight="1">
      <c r="A129" s="10">
        <v>46217.0</v>
      </c>
      <c r="B129" s="95" t="s">
        <v>440</v>
      </c>
      <c r="C129" s="95" t="s">
        <v>441</v>
      </c>
      <c r="D129" s="16">
        <v>5950.0</v>
      </c>
      <c r="E129" s="95">
        <v>5950.0</v>
      </c>
      <c r="F129" s="19">
        <v>46217.0</v>
      </c>
      <c r="G129" s="95" t="s">
        <v>55</v>
      </c>
      <c r="H129" s="95" t="s">
        <v>42</v>
      </c>
      <c r="I129" s="27"/>
      <c r="K129" s="21"/>
      <c r="L129" s="21"/>
      <c r="M129" s="21"/>
    </row>
    <row r="130" ht="15.75" customHeight="1">
      <c r="A130" s="30">
        <v>46217.0</v>
      </c>
      <c r="B130" s="13" t="s">
        <v>38</v>
      </c>
      <c r="C130" s="13" t="s">
        <v>40</v>
      </c>
      <c r="D130" s="18">
        <v>1000.0</v>
      </c>
      <c r="E130" s="13">
        <v>1000.0</v>
      </c>
      <c r="F130" s="44">
        <v>46217.0</v>
      </c>
      <c r="G130" s="13" t="s">
        <v>14</v>
      </c>
      <c r="H130" s="76" t="s">
        <v>17</v>
      </c>
      <c r="I130" s="38"/>
      <c r="K130" s="21"/>
      <c r="L130" s="21"/>
      <c r="M130" s="21"/>
    </row>
    <row r="131" ht="15.75" customHeight="1">
      <c r="A131" s="30">
        <v>46217.0</v>
      </c>
      <c r="B131" s="13" t="s">
        <v>38</v>
      </c>
      <c r="C131" s="13" t="s">
        <v>444</v>
      </c>
      <c r="D131" s="18">
        <v>1000.0</v>
      </c>
      <c r="E131" s="13">
        <v>1000.0</v>
      </c>
      <c r="F131" s="44">
        <v>46217.0</v>
      </c>
      <c r="G131" s="13" t="s">
        <v>14</v>
      </c>
      <c r="H131" s="76" t="s">
        <v>17</v>
      </c>
      <c r="I131" s="38"/>
      <c r="K131" s="21"/>
      <c r="L131" s="21"/>
      <c r="M131" s="21"/>
    </row>
    <row r="132" ht="15.75" customHeight="1">
      <c r="A132" s="30">
        <v>46217.0</v>
      </c>
      <c r="B132" s="13" t="s">
        <v>38</v>
      </c>
      <c r="C132" s="13" t="s">
        <v>362</v>
      </c>
      <c r="D132" s="18">
        <v>500.0</v>
      </c>
      <c r="E132" s="13">
        <v>500.0</v>
      </c>
      <c r="F132" s="44">
        <v>46217.0</v>
      </c>
      <c r="G132" s="13" t="s">
        <v>14</v>
      </c>
      <c r="H132" s="76" t="s">
        <v>17</v>
      </c>
      <c r="I132" s="38"/>
      <c r="K132" s="21"/>
      <c r="L132" s="21"/>
      <c r="M132" s="21"/>
    </row>
    <row r="133" ht="15.75" customHeight="1">
      <c r="A133" s="30">
        <v>46217.0</v>
      </c>
      <c r="B133" s="13" t="s">
        <v>125</v>
      </c>
      <c r="C133" s="13" t="s">
        <v>447</v>
      </c>
      <c r="D133" s="18">
        <v>1900.0</v>
      </c>
      <c r="E133" s="13">
        <v>1900.0</v>
      </c>
      <c r="F133" s="44">
        <v>46217.0</v>
      </c>
      <c r="G133" s="13" t="s">
        <v>14</v>
      </c>
      <c r="H133" s="76" t="s">
        <v>17</v>
      </c>
      <c r="I133" s="38"/>
      <c r="K133" s="21"/>
      <c r="L133" s="21"/>
      <c r="M133" s="21"/>
    </row>
    <row r="134" ht="15.75" customHeight="1">
      <c r="A134" s="30">
        <v>46217.0</v>
      </c>
      <c r="B134" s="13" t="s">
        <v>10</v>
      </c>
      <c r="C134" s="13" t="s">
        <v>12</v>
      </c>
      <c r="D134" s="18">
        <v>70.0</v>
      </c>
      <c r="E134" s="13">
        <v>70.0</v>
      </c>
      <c r="F134" s="44">
        <v>46217.0</v>
      </c>
      <c r="G134" s="13" t="s">
        <v>14</v>
      </c>
      <c r="H134" s="76" t="s">
        <v>17</v>
      </c>
      <c r="I134" s="38"/>
    </row>
    <row r="135" ht="15.75" customHeight="1">
      <c r="A135" s="30">
        <v>46217.0</v>
      </c>
      <c r="B135" s="13" t="s">
        <v>25</v>
      </c>
      <c r="C135" s="13" t="s">
        <v>448</v>
      </c>
      <c r="D135" s="18">
        <v>280.0</v>
      </c>
      <c r="E135" s="13">
        <v>280.0</v>
      </c>
      <c r="F135" s="44">
        <v>46217.0</v>
      </c>
      <c r="G135" s="13" t="s">
        <v>14</v>
      </c>
      <c r="H135" s="76" t="s">
        <v>17</v>
      </c>
      <c r="I135" s="38"/>
    </row>
    <row r="136" ht="15.75" customHeight="1">
      <c r="A136" s="30">
        <v>46217.0</v>
      </c>
      <c r="B136" s="13" t="s">
        <v>48</v>
      </c>
      <c r="C136" s="13" t="s">
        <v>452</v>
      </c>
      <c r="D136" s="18">
        <v>5425.0</v>
      </c>
      <c r="E136" s="13">
        <v>5425.0</v>
      </c>
      <c r="F136" s="44">
        <v>46217.0</v>
      </c>
      <c r="G136" s="13" t="s">
        <v>14</v>
      </c>
      <c r="H136" s="76" t="s">
        <v>17</v>
      </c>
      <c r="I136" s="38"/>
    </row>
    <row r="137" ht="15.75" customHeight="1">
      <c r="A137" s="151">
        <v>46217.0</v>
      </c>
      <c r="B137" s="88" t="s">
        <v>43</v>
      </c>
      <c r="C137" s="88" t="s">
        <v>457</v>
      </c>
      <c r="D137" s="91">
        <v>62500.0</v>
      </c>
      <c r="E137" s="88">
        <v>62500.0</v>
      </c>
      <c r="F137" s="127">
        <v>46222.0</v>
      </c>
      <c r="G137" s="88" t="s">
        <v>55</v>
      </c>
      <c r="H137" s="88" t="s">
        <v>42</v>
      </c>
      <c r="I137" s="64"/>
    </row>
    <row r="138" ht="15.75" customHeight="1">
      <c r="A138" s="102">
        <v>46218.0</v>
      </c>
      <c r="B138" s="41" t="s">
        <v>290</v>
      </c>
      <c r="C138" s="41" t="s">
        <v>461</v>
      </c>
      <c r="D138" s="161">
        <v>7795.0</v>
      </c>
      <c r="E138" s="41">
        <v>7795.0</v>
      </c>
      <c r="F138" s="102">
        <v>46218.0</v>
      </c>
      <c r="G138" s="41" t="s">
        <v>55</v>
      </c>
      <c r="H138" s="41" t="s">
        <v>42</v>
      </c>
      <c r="I138" s="107"/>
    </row>
    <row r="139" ht="15.75" customHeight="1">
      <c r="A139" s="44">
        <v>46218.0</v>
      </c>
      <c r="B139" s="13" t="s">
        <v>38</v>
      </c>
      <c r="C139" s="13" t="s">
        <v>362</v>
      </c>
      <c r="D139" s="18">
        <v>1000.0</v>
      </c>
      <c r="E139" s="13">
        <v>1000.0</v>
      </c>
      <c r="F139" s="44">
        <v>46217.0</v>
      </c>
      <c r="G139" s="13" t="s">
        <v>14</v>
      </c>
      <c r="H139" s="76" t="s">
        <v>17</v>
      </c>
      <c r="I139" s="21"/>
    </row>
    <row r="140" ht="15.75" customHeight="1">
      <c r="A140" s="44">
        <v>46218.0</v>
      </c>
      <c r="B140" s="13" t="s">
        <v>101</v>
      </c>
      <c r="C140" s="81" t="s">
        <v>464</v>
      </c>
      <c r="D140" s="33">
        <v>5000.0</v>
      </c>
      <c r="E140" s="13">
        <v>5000.0</v>
      </c>
      <c r="F140" s="44">
        <v>46217.0</v>
      </c>
      <c r="G140" s="13" t="s">
        <v>14</v>
      </c>
      <c r="H140" s="76" t="s">
        <v>17</v>
      </c>
      <c r="I140" s="21"/>
    </row>
    <row r="141" ht="15.75" customHeight="1">
      <c r="A141" s="44">
        <v>46218.0</v>
      </c>
      <c r="B141" s="13" t="s">
        <v>465</v>
      </c>
      <c r="C141" s="13" t="s">
        <v>467</v>
      </c>
      <c r="D141" s="33">
        <v>16825.0</v>
      </c>
      <c r="E141" s="13">
        <v>16825.0</v>
      </c>
      <c r="F141" s="44">
        <v>46217.0</v>
      </c>
      <c r="G141" s="13" t="s">
        <v>14</v>
      </c>
      <c r="H141" s="76" t="s">
        <v>17</v>
      </c>
      <c r="I141" s="21"/>
    </row>
    <row r="142" ht="15.75" customHeight="1">
      <c r="A142" s="44">
        <v>46218.0</v>
      </c>
      <c r="B142" s="13" t="s">
        <v>10</v>
      </c>
      <c r="C142" s="13" t="s">
        <v>449</v>
      </c>
      <c r="D142" s="18">
        <v>105.0</v>
      </c>
      <c r="E142" s="13">
        <v>70.0</v>
      </c>
      <c r="F142" s="44">
        <v>46217.0</v>
      </c>
      <c r="G142" s="13" t="s">
        <v>14</v>
      </c>
      <c r="H142" s="76" t="s">
        <v>17</v>
      </c>
      <c r="I142" s="21"/>
    </row>
    <row r="143" ht="15.75" customHeight="1">
      <c r="A143" s="44">
        <v>46218.0</v>
      </c>
      <c r="B143" s="13" t="s">
        <v>25</v>
      </c>
      <c r="C143" s="13" t="s">
        <v>448</v>
      </c>
      <c r="D143" s="18">
        <v>280.0</v>
      </c>
      <c r="E143" s="13">
        <v>280.0</v>
      </c>
      <c r="F143" s="44">
        <v>46217.0</v>
      </c>
      <c r="G143" s="13" t="s">
        <v>14</v>
      </c>
      <c r="H143" s="76" t="s">
        <v>17</v>
      </c>
      <c r="I143" s="21"/>
    </row>
    <row r="144" ht="15.75" customHeight="1">
      <c r="A144" s="44">
        <v>46218.0</v>
      </c>
      <c r="B144" s="13" t="s">
        <v>50</v>
      </c>
      <c r="C144" s="13" t="s">
        <v>471</v>
      </c>
      <c r="D144" s="33">
        <v>500.0</v>
      </c>
      <c r="E144" s="13">
        <v>500.0</v>
      </c>
      <c r="F144" s="44">
        <v>46217.0</v>
      </c>
      <c r="G144" s="13" t="s">
        <v>14</v>
      </c>
      <c r="H144" s="76" t="s">
        <v>17</v>
      </c>
      <c r="I144" s="21"/>
    </row>
    <row r="145" ht="15.75" customHeight="1">
      <c r="A145" s="44">
        <v>46218.0</v>
      </c>
      <c r="B145" s="13" t="s">
        <v>473</v>
      </c>
      <c r="C145" s="13" t="s">
        <v>474</v>
      </c>
      <c r="D145" s="33">
        <v>13100.0</v>
      </c>
      <c r="E145" s="13">
        <v>13100.0</v>
      </c>
      <c r="F145" s="44">
        <v>46217.0</v>
      </c>
      <c r="G145" s="13" t="s">
        <v>14</v>
      </c>
      <c r="H145" s="76" t="s">
        <v>17</v>
      </c>
      <c r="I145" s="21"/>
    </row>
    <row r="146" ht="15.75" customHeight="1">
      <c r="A146" s="44">
        <v>46218.0</v>
      </c>
      <c r="B146" s="13" t="s">
        <v>160</v>
      </c>
      <c r="C146" s="13" t="s">
        <v>476</v>
      </c>
      <c r="D146" s="33">
        <v>5750.0</v>
      </c>
      <c r="E146" s="13">
        <v>5750.0</v>
      </c>
      <c r="F146" s="44">
        <v>46217.0</v>
      </c>
      <c r="G146" s="13" t="s">
        <v>14</v>
      </c>
      <c r="H146" s="76" t="s">
        <v>17</v>
      </c>
      <c r="I146" s="21"/>
      <c r="Q146" s="74">
        <f>SUM(P154-P166)</f>
        <v>0</v>
      </c>
    </row>
    <row r="147" ht="15.75" customHeight="1">
      <c r="A147" s="145">
        <v>46218.0</v>
      </c>
      <c r="B147" s="65" t="s">
        <v>52</v>
      </c>
      <c r="C147" s="65" t="s">
        <v>481</v>
      </c>
      <c r="D147" s="168">
        <v>23830.0</v>
      </c>
      <c r="E147" s="65">
        <v>23654.0</v>
      </c>
      <c r="F147" s="145">
        <v>46224.0</v>
      </c>
      <c r="G147" s="65" t="s">
        <v>55</v>
      </c>
      <c r="H147" s="65" t="s">
        <v>483</v>
      </c>
      <c r="I147" s="65" t="s">
        <v>484</v>
      </c>
    </row>
    <row r="148" ht="15.75" customHeight="1">
      <c r="A148" s="10">
        <v>46219.0</v>
      </c>
      <c r="B148" s="95" t="s">
        <v>405</v>
      </c>
      <c r="C148" s="95" t="s">
        <v>485</v>
      </c>
      <c r="D148" s="17">
        <v>3100.0</v>
      </c>
      <c r="E148" s="95">
        <v>3100.0</v>
      </c>
      <c r="F148" s="19">
        <v>46222.0</v>
      </c>
      <c r="G148" s="95" t="s">
        <v>55</v>
      </c>
      <c r="H148" s="95" t="s">
        <v>56</v>
      </c>
      <c r="I148" s="27"/>
      <c r="N148" s="206">
        <f t="shared" ref="N148:O148" si="1">SUM(N146:N147)</f>
        <v>0</v>
      </c>
      <c r="O148" s="206">
        <f t="shared" si="1"/>
        <v>0</v>
      </c>
      <c r="P148" s="208">
        <f>SUM(N148-O148)</f>
        <v>0</v>
      </c>
      <c r="Q148" s="74"/>
    </row>
    <row r="149" ht="15.75" customHeight="1">
      <c r="A149" s="30">
        <v>46219.0</v>
      </c>
      <c r="B149" s="13" t="s">
        <v>38</v>
      </c>
      <c r="C149" s="13" t="s">
        <v>40</v>
      </c>
      <c r="D149" s="18">
        <v>1000.0</v>
      </c>
      <c r="E149" s="13">
        <v>1000.0</v>
      </c>
      <c r="F149" s="44">
        <v>46219.0</v>
      </c>
      <c r="G149" s="13" t="s">
        <v>14</v>
      </c>
      <c r="H149" s="76" t="s">
        <v>17</v>
      </c>
      <c r="I149" s="38"/>
      <c r="N149" s="48" t="s">
        <v>65</v>
      </c>
      <c r="O149" s="48" t="s">
        <v>70</v>
      </c>
    </row>
    <row r="150" ht="15.75" customHeight="1">
      <c r="A150" s="30">
        <v>46219.0</v>
      </c>
      <c r="B150" s="13" t="s">
        <v>101</v>
      </c>
      <c r="C150" s="81" t="s">
        <v>103</v>
      </c>
      <c r="D150" s="33">
        <v>1000.0</v>
      </c>
      <c r="E150" s="13">
        <v>1000.0</v>
      </c>
      <c r="F150" s="44">
        <v>46219.0</v>
      </c>
      <c r="G150" s="13" t="s">
        <v>14</v>
      </c>
      <c r="H150" s="76" t="s">
        <v>17</v>
      </c>
      <c r="I150" s="38"/>
      <c r="M150" s="7" t="s">
        <v>73</v>
      </c>
      <c r="N150" s="52">
        <v>113819.0</v>
      </c>
      <c r="O150" s="52">
        <v>73275.0</v>
      </c>
      <c r="P150" s="74"/>
      <c r="Q150" s="74"/>
    </row>
    <row r="151" ht="15.75" customHeight="1">
      <c r="A151" s="30">
        <v>46219.0</v>
      </c>
      <c r="B151" s="13" t="s">
        <v>499</v>
      </c>
      <c r="C151" s="13" t="s">
        <v>500</v>
      </c>
      <c r="D151" s="33">
        <v>3800.0</v>
      </c>
      <c r="E151" s="13">
        <v>3800.0</v>
      </c>
      <c r="F151" s="44">
        <v>46219.0</v>
      </c>
      <c r="G151" s="13" t="s">
        <v>14</v>
      </c>
      <c r="H151" s="76" t="s">
        <v>17</v>
      </c>
      <c r="I151" s="38"/>
      <c r="M151" s="7" t="s">
        <v>78</v>
      </c>
      <c r="N151" s="52">
        <v>330682.0</v>
      </c>
      <c r="O151" s="52">
        <v>305674.0</v>
      </c>
      <c r="P151" s="74"/>
      <c r="Q151" s="74"/>
    </row>
    <row r="152" ht="15.75" customHeight="1">
      <c r="A152" s="30">
        <v>46219.0</v>
      </c>
      <c r="B152" s="13" t="s">
        <v>10</v>
      </c>
      <c r="C152" s="13" t="s">
        <v>12</v>
      </c>
      <c r="D152" s="33">
        <v>70.0</v>
      </c>
      <c r="E152" s="13">
        <v>70.0</v>
      </c>
      <c r="F152" s="44">
        <v>46219.0</v>
      </c>
      <c r="G152" s="13" t="s">
        <v>14</v>
      </c>
      <c r="H152" s="76" t="s">
        <v>17</v>
      </c>
      <c r="I152" s="38"/>
    </row>
    <row r="153" ht="15.75" customHeight="1">
      <c r="A153" s="30">
        <v>46219.0</v>
      </c>
      <c r="B153" s="13" t="s">
        <v>25</v>
      </c>
      <c r="C153" s="13" t="s">
        <v>333</v>
      </c>
      <c r="D153" s="33">
        <v>175.0</v>
      </c>
      <c r="E153" s="13">
        <v>175.0</v>
      </c>
      <c r="F153" s="44">
        <v>46219.0</v>
      </c>
      <c r="G153" s="13" t="s">
        <v>14</v>
      </c>
      <c r="H153" s="76" t="s">
        <v>17</v>
      </c>
      <c r="I153" s="38"/>
    </row>
    <row r="154" ht="15.75" customHeight="1">
      <c r="A154" s="30">
        <v>46219.0</v>
      </c>
      <c r="B154" s="13" t="s">
        <v>225</v>
      </c>
      <c r="C154" s="13" t="s">
        <v>502</v>
      </c>
      <c r="D154" s="33">
        <v>10300.0</v>
      </c>
      <c r="E154" s="13">
        <v>10300.0</v>
      </c>
      <c r="F154" s="44">
        <v>46220.0</v>
      </c>
      <c r="G154" s="13" t="s">
        <v>55</v>
      </c>
      <c r="H154" s="13" t="s">
        <v>503</v>
      </c>
      <c r="I154" s="38"/>
      <c r="N154" s="74"/>
      <c r="O154" s="74"/>
      <c r="P154" s="74"/>
      <c r="Q154" s="74"/>
    </row>
    <row r="155" ht="15.75" customHeight="1">
      <c r="A155" s="151">
        <v>46219.0</v>
      </c>
      <c r="B155" s="88" t="s">
        <v>504</v>
      </c>
      <c r="C155" s="88" t="s">
        <v>506</v>
      </c>
      <c r="D155" s="173">
        <v>9644.0</v>
      </c>
      <c r="E155" s="88">
        <v>9644.0</v>
      </c>
      <c r="F155" s="127">
        <v>46219.0</v>
      </c>
      <c r="G155" s="88" t="s">
        <v>507</v>
      </c>
      <c r="H155" s="88" t="s">
        <v>508</v>
      </c>
      <c r="I155" s="64"/>
      <c r="N155" s="74"/>
      <c r="O155" s="74"/>
      <c r="P155" s="74"/>
      <c r="Q155" s="74"/>
    </row>
    <row r="156" ht="15.75" customHeight="1">
      <c r="A156" s="102">
        <v>46220.0</v>
      </c>
      <c r="B156" s="41" t="s">
        <v>126</v>
      </c>
      <c r="C156" s="41" t="s">
        <v>510</v>
      </c>
      <c r="D156" s="161">
        <v>740.0</v>
      </c>
      <c r="E156" s="41">
        <v>740.0</v>
      </c>
      <c r="F156" s="102">
        <v>46220.0</v>
      </c>
      <c r="G156" s="41" t="s">
        <v>14</v>
      </c>
      <c r="H156" s="106" t="s">
        <v>17</v>
      </c>
      <c r="I156" s="107"/>
      <c r="N156" s="125">
        <v>50.0</v>
      </c>
      <c r="O156" s="125">
        <v>10.0</v>
      </c>
      <c r="P156" s="74">
        <f t="shared" ref="P156:P157" si="2">N156*O156</f>
        <v>500</v>
      </c>
      <c r="Q156" s="74"/>
    </row>
    <row r="157" ht="15.75" customHeight="1">
      <c r="A157" s="44">
        <v>46220.0</v>
      </c>
      <c r="B157" s="13" t="s">
        <v>38</v>
      </c>
      <c r="C157" s="13" t="s">
        <v>40</v>
      </c>
      <c r="D157" s="33">
        <v>1000.0</v>
      </c>
      <c r="E157" s="13">
        <v>1000.0</v>
      </c>
      <c r="F157" s="44">
        <v>46220.0</v>
      </c>
      <c r="G157" s="13" t="s">
        <v>14</v>
      </c>
      <c r="H157" s="76" t="s">
        <v>17</v>
      </c>
      <c r="I157" s="21"/>
      <c r="N157" s="125">
        <v>20.0</v>
      </c>
      <c r="O157" s="125">
        <v>111.0</v>
      </c>
      <c r="P157" s="74">
        <f t="shared" si="2"/>
        <v>2220</v>
      </c>
      <c r="Q157" s="74"/>
    </row>
    <row r="158" ht="15.75" customHeight="1">
      <c r="A158" s="44">
        <v>46220.0</v>
      </c>
      <c r="B158" s="13" t="s">
        <v>38</v>
      </c>
      <c r="C158" s="13" t="s">
        <v>362</v>
      </c>
      <c r="D158" s="33">
        <v>1000.0</v>
      </c>
      <c r="E158" s="13">
        <v>1000.0</v>
      </c>
      <c r="F158" s="44">
        <v>46220.0</v>
      </c>
      <c r="G158" s="13" t="s">
        <v>14</v>
      </c>
      <c r="H158" s="76" t="s">
        <v>17</v>
      </c>
      <c r="I158" s="21"/>
      <c r="N158" s="125"/>
      <c r="O158" s="125" t="s">
        <v>137</v>
      </c>
      <c r="P158" s="125">
        <v>8668.0</v>
      </c>
      <c r="Q158" s="74"/>
    </row>
    <row r="159" ht="15.75" customHeight="1">
      <c r="A159" s="44">
        <v>46220.0</v>
      </c>
      <c r="B159" s="13" t="s">
        <v>10</v>
      </c>
      <c r="C159" s="13" t="s">
        <v>12</v>
      </c>
      <c r="D159" s="33">
        <v>70.0</v>
      </c>
      <c r="E159" s="13">
        <v>70.0</v>
      </c>
      <c r="F159" s="44">
        <v>46220.0</v>
      </c>
      <c r="G159" s="13" t="s">
        <v>14</v>
      </c>
      <c r="H159" s="76" t="s">
        <v>17</v>
      </c>
      <c r="I159" s="21"/>
      <c r="N159" s="125">
        <v>500.0</v>
      </c>
      <c r="O159" s="125">
        <v>28.0</v>
      </c>
      <c r="P159" s="74">
        <f t="shared" ref="P159:P160" si="3">N159*O159</f>
        <v>14000</v>
      </c>
      <c r="Q159" s="74"/>
    </row>
    <row r="160" ht="15.75" customHeight="1">
      <c r="A160" s="44">
        <v>46220.0</v>
      </c>
      <c r="B160" s="13" t="s">
        <v>25</v>
      </c>
      <c r="C160" s="13" t="s">
        <v>26</v>
      </c>
      <c r="D160" s="33">
        <v>140.0</v>
      </c>
      <c r="E160" s="13">
        <v>140.0</v>
      </c>
      <c r="F160" s="44">
        <v>46220.0</v>
      </c>
      <c r="G160" s="13" t="s">
        <v>14</v>
      </c>
      <c r="H160" s="76" t="s">
        <v>17</v>
      </c>
      <c r="I160" s="21"/>
      <c r="N160" s="125">
        <v>100.0</v>
      </c>
      <c r="O160" s="125">
        <v>110.0</v>
      </c>
      <c r="P160" s="74">
        <f t="shared" si="3"/>
        <v>11000</v>
      </c>
      <c r="Q160" s="74"/>
    </row>
    <row r="161" ht="15.75" customHeight="1">
      <c r="A161" s="44">
        <v>46220.0</v>
      </c>
      <c r="B161" s="13" t="s">
        <v>534</v>
      </c>
      <c r="C161" s="13" t="s">
        <v>535</v>
      </c>
      <c r="D161" s="33">
        <v>5040.0</v>
      </c>
      <c r="E161" s="13">
        <v>5040.0</v>
      </c>
      <c r="F161" s="44">
        <v>46218.0</v>
      </c>
      <c r="G161" s="13" t="s">
        <v>55</v>
      </c>
      <c r="H161" s="13" t="s">
        <v>56</v>
      </c>
      <c r="I161" s="21"/>
      <c r="N161" s="125"/>
      <c r="O161" s="74"/>
      <c r="P161" s="125"/>
      <c r="Q161" s="74"/>
    </row>
    <row r="162" ht="15.75" customHeight="1">
      <c r="A162" s="145">
        <v>46220.0</v>
      </c>
      <c r="B162" s="65" t="s">
        <v>225</v>
      </c>
      <c r="C162" s="65" t="s">
        <v>540</v>
      </c>
      <c r="D162" s="168">
        <v>920.0</v>
      </c>
      <c r="E162" s="65">
        <v>920.0</v>
      </c>
      <c r="F162" s="145">
        <v>46221.0</v>
      </c>
      <c r="G162" s="65" t="s">
        <v>55</v>
      </c>
      <c r="H162" s="65" t="s">
        <v>42</v>
      </c>
      <c r="I162" s="97"/>
      <c r="N162" s="125"/>
      <c r="O162" s="74"/>
      <c r="P162" s="74">
        <f>N162*O162</f>
        <v>0</v>
      </c>
      <c r="Q162" s="74"/>
    </row>
    <row r="163" ht="15.75" customHeight="1">
      <c r="A163" s="10">
        <v>46221.0</v>
      </c>
      <c r="B163" s="95" t="s">
        <v>38</v>
      </c>
      <c r="C163" s="95" t="s">
        <v>362</v>
      </c>
      <c r="D163" s="17">
        <v>1000.0</v>
      </c>
      <c r="E163" s="95">
        <v>1000.0</v>
      </c>
      <c r="F163" s="19">
        <v>46221.0</v>
      </c>
      <c r="G163" s="95" t="s">
        <v>14</v>
      </c>
      <c r="H163" s="23" t="s">
        <v>17</v>
      </c>
      <c r="I163" s="27"/>
    </row>
    <row r="164" ht="15.75" customHeight="1">
      <c r="A164" s="30">
        <v>46221.0</v>
      </c>
      <c r="B164" s="13" t="s">
        <v>101</v>
      </c>
      <c r="C164" s="81" t="s">
        <v>103</v>
      </c>
      <c r="D164" s="33">
        <v>500.0</v>
      </c>
      <c r="E164" s="13">
        <v>500.0</v>
      </c>
      <c r="F164" s="44">
        <v>46221.0</v>
      </c>
      <c r="G164" s="13" t="s">
        <v>14</v>
      </c>
      <c r="H164" s="76" t="s">
        <v>17</v>
      </c>
      <c r="I164" s="38"/>
      <c r="J164" s="126">
        <v>46222.0</v>
      </c>
    </row>
    <row r="165" ht="15.75" customHeight="1">
      <c r="A165" s="30">
        <v>46221.0</v>
      </c>
      <c r="B165" s="13" t="s">
        <v>554</v>
      </c>
      <c r="C165" s="13" t="s">
        <v>555</v>
      </c>
      <c r="D165" s="33">
        <v>22000.0</v>
      </c>
      <c r="E165" s="13">
        <v>22000.0</v>
      </c>
      <c r="F165" s="44">
        <v>46221.0</v>
      </c>
      <c r="G165" s="13" t="s">
        <v>507</v>
      </c>
      <c r="H165" s="13" t="s">
        <v>508</v>
      </c>
      <c r="I165" s="38"/>
    </row>
    <row r="166" ht="15.75" customHeight="1">
      <c r="A166" s="30">
        <v>46221.0</v>
      </c>
      <c r="B166" s="13" t="s">
        <v>557</v>
      </c>
      <c r="C166" s="13" t="s">
        <v>558</v>
      </c>
      <c r="D166" s="33">
        <v>27500.0</v>
      </c>
      <c r="E166" s="13">
        <v>27500.0</v>
      </c>
      <c r="F166" s="44">
        <v>46222.0</v>
      </c>
      <c r="G166" s="13" t="s">
        <v>55</v>
      </c>
      <c r="H166" s="13" t="s">
        <v>56</v>
      </c>
      <c r="I166" s="38"/>
    </row>
    <row r="167" ht="15.75" customHeight="1">
      <c r="A167" s="30">
        <v>46221.0</v>
      </c>
      <c r="B167" s="13" t="s">
        <v>10</v>
      </c>
      <c r="C167" s="13" t="s">
        <v>12</v>
      </c>
      <c r="D167" s="33">
        <v>70.0</v>
      </c>
      <c r="E167" s="13">
        <v>70.0</v>
      </c>
      <c r="F167" s="44">
        <v>46221.0</v>
      </c>
      <c r="G167" s="13" t="s">
        <v>14</v>
      </c>
      <c r="H167" s="76" t="s">
        <v>17</v>
      </c>
      <c r="I167" s="38"/>
      <c r="N167" s="74"/>
      <c r="O167" s="74"/>
      <c r="P167" s="74">
        <f>N167*O167</f>
        <v>0</v>
      </c>
      <c r="Q167" s="74"/>
    </row>
    <row r="168" ht="15.75" customHeight="1">
      <c r="A168" s="30">
        <v>46221.0</v>
      </c>
      <c r="B168" s="13" t="s">
        <v>25</v>
      </c>
      <c r="C168" s="13" t="s">
        <v>564</v>
      </c>
      <c r="D168" s="33">
        <v>210.0</v>
      </c>
      <c r="E168" s="13">
        <v>210.0</v>
      </c>
      <c r="F168" s="44">
        <v>46221.0</v>
      </c>
      <c r="G168" s="13" t="s">
        <v>14</v>
      </c>
      <c r="H168" s="76" t="s">
        <v>17</v>
      </c>
      <c r="I168" s="38"/>
      <c r="N168" s="74"/>
      <c r="O168" s="125" t="s">
        <v>567</v>
      </c>
      <c r="P168" s="208">
        <f>SUM(P159:P167)</f>
        <v>25000</v>
      </c>
      <c r="Q168" s="74"/>
    </row>
    <row r="169" ht="15.75" customHeight="1">
      <c r="A169" s="30">
        <v>46221.0</v>
      </c>
      <c r="B169" s="13" t="s">
        <v>43</v>
      </c>
      <c r="C169" s="13" t="s">
        <v>570</v>
      </c>
      <c r="D169" s="33">
        <v>48000.0</v>
      </c>
      <c r="E169" s="13">
        <v>42000.0</v>
      </c>
      <c r="F169" s="44">
        <v>46223.0</v>
      </c>
      <c r="G169" s="13" t="s">
        <v>55</v>
      </c>
      <c r="H169" s="13" t="s">
        <v>42</v>
      </c>
      <c r="I169" s="38"/>
    </row>
    <row r="170" ht="15.0" customHeight="1">
      <c r="A170" s="30"/>
      <c r="B170" s="13"/>
      <c r="C170" s="13"/>
      <c r="D170" s="33"/>
      <c r="E170" s="13">
        <v>6000.0</v>
      </c>
      <c r="F170" s="44">
        <v>46223.0</v>
      </c>
      <c r="G170" s="13" t="s">
        <v>55</v>
      </c>
      <c r="H170" s="13" t="s">
        <v>56</v>
      </c>
      <c r="I170" s="38"/>
    </row>
    <row r="171" ht="15.75" customHeight="1">
      <c r="A171" s="151">
        <v>46221.0</v>
      </c>
      <c r="B171" s="88" t="s">
        <v>225</v>
      </c>
      <c r="C171" s="88" t="s">
        <v>572</v>
      </c>
      <c r="D171" s="173">
        <v>4600.0</v>
      </c>
      <c r="E171" s="88">
        <v>4600.0</v>
      </c>
      <c r="F171" s="127">
        <v>46223.0</v>
      </c>
      <c r="G171" s="88" t="s">
        <v>55</v>
      </c>
      <c r="H171" s="88" t="s">
        <v>56</v>
      </c>
      <c r="I171" s="193" t="s">
        <v>573</v>
      </c>
    </row>
    <row r="172" ht="15.75" customHeight="1">
      <c r="A172" s="102">
        <v>46222.0</v>
      </c>
      <c r="B172" s="41" t="s">
        <v>574</v>
      </c>
      <c r="C172" s="41" t="s">
        <v>575</v>
      </c>
      <c r="D172" s="161">
        <v>5100.0</v>
      </c>
      <c r="E172" s="41">
        <v>5100.0</v>
      </c>
      <c r="F172" s="102">
        <v>46222.0</v>
      </c>
      <c r="G172" s="41" t="s">
        <v>14</v>
      </c>
      <c r="H172" s="106" t="s">
        <v>17</v>
      </c>
      <c r="I172" s="107"/>
    </row>
    <row r="173" ht="15.75" customHeight="1">
      <c r="A173" s="44">
        <v>46222.0</v>
      </c>
      <c r="B173" s="13" t="s">
        <v>38</v>
      </c>
      <c r="C173" s="13" t="s">
        <v>40</v>
      </c>
      <c r="D173" s="33">
        <v>1000.0</v>
      </c>
      <c r="E173" s="13">
        <v>1000.0</v>
      </c>
      <c r="F173" s="44">
        <v>46222.0</v>
      </c>
      <c r="G173" s="13" t="s">
        <v>14</v>
      </c>
      <c r="H173" s="76" t="s">
        <v>17</v>
      </c>
      <c r="I173" s="13"/>
    </row>
    <row r="174" ht="15.75" customHeight="1">
      <c r="A174" s="44">
        <v>46222.0</v>
      </c>
      <c r="B174" s="13" t="s">
        <v>38</v>
      </c>
      <c r="C174" s="13" t="s">
        <v>362</v>
      </c>
      <c r="D174" s="33">
        <v>1000.0</v>
      </c>
      <c r="E174" s="13">
        <v>1000.0</v>
      </c>
      <c r="F174" s="44">
        <v>46222.0</v>
      </c>
      <c r="G174" s="13" t="s">
        <v>14</v>
      </c>
      <c r="H174" s="76" t="s">
        <v>17</v>
      </c>
      <c r="I174" s="13"/>
    </row>
    <row r="175" ht="15.75" customHeight="1">
      <c r="A175" s="44">
        <v>46222.0</v>
      </c>
      <c r="B175" s="13" t="s">
        <v>134</v>
      </c>
      <c r="C175" s="13" t="s">
        <v>576</v>
      </c>
      <c r="D175" s="33">
        <v>168.0</v>
      </c>
      <c r="E175" s="13">
        <v>168.0</v>
      </c>
      <c r="F175" s="44">
        <v>46222.0</v>
      </c>
      <c r="G175" s="13" t="s">
        <v>14</v>
      </c>
      <c r="H175" s="76" t="s">
        <v>17</v>
      </c>
      <c r="I175" s="21"/>
    </row>
    <row r="176" ht="15.75" customHeight="1">
      <c r="A176" s="44">
        <v>46222.0</v>
      </c>
      <c r="B176" s="13" t="s">
        <v>10</v>
      </c>
      <c r="C176" s="13" t="s">
        <v>12</v>
      </c>
      <c r="D176" s="33">
        <v>70.0</v>
      </c>
      <c r="E176" s="13">
        <v>70.0</v>
      </c>
      <c r="F176" s="44">
        <v>46222.0</v>
      </c>
      <c r="G176" s="13" t="s">
        <v>14</v>
      </c>
      <c r="H176" s="76" t="s">
        <v>17</v>
      </c>
      <c r="I176" s="21"/>
    </row>
    <row r="177" ht="15.75" customHeight="1">
      <c r="A177" s="44">
        <v>46222.0</v>
      </c>
      <c r="B177" s="13" t="s">
        <v>25</v>
      </c>
      <c r="C177" s="13" t="s">
        <v>333</v>
      </c>
      <c r="D177" s="33">
        <v>175.0</v>
      </c>
      <c r="E177" s="13">
        <v>175.0</v>
      </c>
      <c r="F177" s="44">
        <v>46222.0</v>
      </c>
      <c r="G177" s="13" t="s">
        <v>14</v>
      </c>
      <c r="H177" s="76" t="s">
        <v>17</v>
      </c>
      <c r="I177" s="21"/>
    </row>
    <row r="178" ht="15.75" customHeight="1">
      <c r="A178" s="44">
        <v>46222.0</v>
      </c>
      <c r="B178" s="13" t="s">
        <v>401</v>
      </c>
      <c r="C178" s="13" t="s">
        <v>583</v>
      </c>
      <c r="D178" s="33">
        <v>38550.0</v>
      </c>
      <c r="E178" s="13">
        <v>38550.0</v>
      </c>
      <c r="F178" s="44">
        <v>46226.0</v>
      </c>
      <c r="G178" s="13" t="s">
        <v>36</v>
      </c>
      <c r="H178" s="13" t="s">
        <v>503</v>
      </c>
      <c r="I178" s="21"/>
    </row>
    <row r="179" ht="15.75" customHeight="1">
      <c r="A179" s="44">
        <v>46222.0</v>
      </c>
      <c r="B179" s="13" t="s">
        <v>50</v>
      </c>
      <c r="C179" s="13" t="s">
        <v>585</v>
      </c>
      <c r="D179" s="33">
        <v>60.0</v>
      </c>
      <c r="E179" s="13">
        <v>60.0</v>
      </c>
      <c r="F179" s="44">
        <v>46222.0</v>
      </c>
      <c r="G179" s="13" t="s">
        <v>14</v>
      </c>
      <c r="H179" s="76" t="s">
        <v>17</v>
      </c>
      <c r="I179" s="21"/>
    </row>
    <row r="180" ht="15.75" customHeight="1">
      <c r="A180" s="145">
        <v>46222.0</v>
      </c>
      <c r="B180" s="65" t="s">
        <v>225</v>
      </c>
      <c r="C180" s="65" t="s">
        <v>586</v>
      </c>
      <c r="D180" s="168">
        <v>4600.0</v>
      </c>
      <c r="E180" s="65">
        <v>4600.0</v>
      </c>
      <c r="F180" s="145">
        <v>46223.0</v>
      </c>
      <c r="G180" s="65" t="s">
        <v>55</v>
      </c>
      <c r="H180" s="65" t="s">
        <v>56</v>
      </c>
      <c r="I180" s="65" t="s">
        <v>573</v>
      </c>
    </row>
    <row r="181" ht="15.75" customHeight="1">
      <c r="A181" s="10">
        <v>46223.0</v>
      </c>
      <c r="B181" s="95" t="s">
        <v>63</v>
      </c>
      <c r="C181" s="95" t="s">
        <v>587</v>
      </c>
      <c r="D181" s="17">
        <v>6748.0</v>
      </c>
      <c r="E181" s="95">
        <v>6748.0</v>
      </c>
      <c r="F181" s="25"/>
      <c r="G181" s="95" t="s">
        <v>14</v>
      </c>
      <c r="H181" s="23" t="s">
        <v>17</v>
      </c>
      <c r="I181" s="27"/>
    </row>
    <row r="182" ht="15.75" customHeight="1">
      <c r="A182" s="30">
        <v>46223.0</v>
      </c>
      <c r="B182" s="13" t="s">
        <v>440</v>
      </c>
      <c r="C182" s="13" t="s">
        <v>591</v>
      </c>
      <c r="D182" s="33">
        <v>4000.0</v>
      </c>
      <c r="E182" s="13">
        <v>4000.0</v>
      </c>
      <c r="F182" s="44">
        <v>46224.0</v>
      </c>
      <c r="G182" s="13" t="s">
        <v>55</v>
      </c>
      <c r="H182" s="13" t="s">
        <v>56</v>
      </c>
      <c r="I182" s="38"/>
    </row>
    <row r="183" ht="15.75" customHeight="1">
      <c r="A183" s="30">
        <v>46223.0</v>
      </c>
      <c r="B183" s="13" t="s">
        <v>50</v>
      </c>
      <c r="C183" s="13" t="s">
        <v>593</v>
      </c>
      <c r="D183" s="33">
        <v>475.0</v>
      </c>
      <c r="E183" s="13">
        <v>475.0</v>
      </c>
      <c r="F183" s="44">
        <v>46223.0</v>
      </c>
      <c r="G183" s="13" t="s">
        <v>14</v>
      </c>
      <c r="H183" s="76" t="s">
        <v>17</v>
      </c>
      <c r="I183" s="38"/>
    </row>
    <row r="184" ht="15.75" customHeight="1">
      <c r="A184" s="30">
        <v>46223.0</v>
      </c>
      <c r="B184" s="13" t="s">
        <v>38</v>
      </c>
      <c r="C184" s="13" t="s">
        <v>40</v>
      </c>
      <c r="D184" s="33">
        <v>1000.0</v>
      </c>
      <c r="E184" s="13">
        <v>1000.0</v>
      </c>
      <c r="F184" s="44">
        <v>46223.0</v>
      </c>
      <c r="G184" s="13" t="s">
        <v>14</v>
      </c>
      <c r="H184" s="76" t="s">
        <v>17</v>
      </c>
      <c r="I184" s="38"/>
    </row>
    <row r="185" ht="15.75" customHeight="1">
      <c r="A185" s="30">
        <v>46223.0</v>
      </c>
      <c r="B185" s="13" t="s">
        <v>597</v>
      </c>
      <c r="C185" s="224" t="s">
        <v>598</v>
      </c>
      <c r="D185" s="33">
        <v>2280.0</v>
      </c>
      <c r="E185" s="13">
        <v>2280.0</v>
      </c>
      <c r="F185" s="44">
        <v>46223.0</v>
      </c>
      <c r="G185" s="13" t="s">
        <v>14</v>
      </c>
      <c r="H185" s="76" t="s">
        <v>17</v>
      </c>
      <c r="I185" s="38"/>
    </row>
    <row r="186" ht="15.75" customHeight="1">
      <c r="A186" s="30">
        <v>46223.0</v>
      </c>
      <c r="B186" s="13" t="s">
        <v>10</v>
      </c>
      <c r="C186" s="13" t="s">
        <v>12</v>
      </c>
      <c r="D186" s="33">
        <v>70.0</v>
      </c>
      <c r="E186" s="13">
        <v>70.0</v>
      </c>
      <c r="F186" s="44">
        <v>46223.0</v>
      </c>
      <c r="G186" s="13" t="s">
        <v>14</v>
      </c>
      <c r="H186" s="76" t="s">
        <v>17</v>
      </c>
      <c r="I186" s="38"/>
    </row>
    <row r="187" ht="15.75" customHeight="1">
      <c r="A187" s="30">
        <v>46223.0</v>
      </c>
      <c r="B187" s="13" t="s">
        <v>25</v>
      </c>
      <c r="C187" s="13" t="s">
        <v>333</v>
      </c>
      <c r="D187" s="33">
        <v>175.0</v>
      </c>
      <c r="E187" s="13">
        <v>175.0</v>
      </c>
      <c r="F187" s="44">
        <v>46223.0</v>
      </c>
      <c r="G187" s="13" t="s">
        <v>14</v>
      </c>
      <c r="H187" s="76" t="s">
        <v>17</v>
      </c>
      <c r="I187" s="38"/>
    </row>
    <row r="188" ht="15.75" customHeight="1">
      <c r="A188" s="151">
        <v>46223.0</v>
      </c>
      <c r="B188" s="88" t="s">
        <v>160</v>
      </c>
      <c r="C188" s="88" t="s">
        <v>605</v>
      </c>
      <c r="D188" s="173">
        <v>24400.0</v>
      </c>
      <c r="E188" s="88">
        <v>24400.0</v>
      </c>
      <c r="F188" s="127">
        <v>46223.0</v>
      </c>
      <c r="G188" s="88" t="s">
        <v>14</v>
      </c>
      <c r="H188" s="101" t="s">
        <v>17</v>
      </c>
      <c r="I188" s="64"/>
    </row>
    <row r="189" ht="15.75" customHeight="1">
      <c r="A189" s="102">
        <v>46224.0</v>
      </c>
      <c r="B189" s="41" t="s">
        <v>179</v>
      </c>
      <c r="C189" s="41" t="s">
        <v>606</v>
      </c>
      <c r="D189" s="161">
        <v>9400.0</v>
      </c>
      <c r="E189" s="41">
        <v>9400.0</v>
      </c>
      <c r="F189" s="102">
        <v>46224.0</v>
      </c>
      <c r="G189" s="41" t="s">
        <v>14</v>
      </c>
      <c r="H189" s="106" t="s">
        <v>17</v>
      </c>
      <c r="I189" s="107"/>
      <c r="L189" s="7" t="s">
        <v>607</v>
      </c>
    </row>
    <row r="190" ht="15.75" customHeight="1">
      <c r="A190" s="44">
        <v>46224.0</v>
      </c>
      <c r="B190" s="13" t="s">
        <v>608</v>
      </c>
      <c r="C190" s="13" t="s">
        <v>609</v>
      </c>
      <c r="D190" s="33">
        <v>3480.0</v>
      </c>
      <c r="E190" s="13">
        <v>3480.0</v>
      </c>
      <c r="F190" s="44">
        <v>46226.0</v>
      </c>
      <c r="G190" s="13" t="s">
        <v>55</v>
      </c>
      <c r="H190" s="13" t="s">
        <v>56</v>
      </c>
      <c r="I190" s="21"/>
      <c r="K190" s="7">
        <v>21.0</v>
      </c>
      <c r="M190" s="7">
        <v>380.0</v>
      </c>
    </row>
    <row r="191" ht="15.75" customHeight="1">
      <c r="A191" s="44">
        <v>46224.0</v>
      </c>
      <c r="B191" s="13" t="s">
        <v>38</v>
      </c>
      <c r="C191" s="13" t="s">
        <v>40</v>
      </c>
      <c r="D191" s="33">
        <v>1000.0</v>
      </c>
      <c r="E191" s="13">
        <v>1000.0</v>
      </c>
      <c r="F191" s="44">
        <v>46224.0</v>
      </c>
      <c r="G191" s="13" t="s">
        <v>14</v>
      </c>
      <c r="H191" s="76" t="s">
        <v>17</v>
      </c>
      <c r="I191" s="21"/>
      <c r="K191" s="7">
        <v>17.0</v>
      </c>
      <c r="M191" s="7">
        <v>380.0</v>
      </c>
    </row>
    <row r="192" ht="15.75" customHeight="1">
      <c r="A192" s="44">
        <v>46224.0</v>
      </c>
      <c r="B192" s="13" t="s">
        <v>38</v>
      </c>
      <c r="C192" s="13" t="s">
        <v>362</v>
      </c>
      <c r="D192" s="33">
        <v>500.0</v>
      </c>
      <c r="E192" s="13">
        <v>500.0</v>
      </c>
      <c r="F192" s="44">
        <v>46224.0</v>
      </c>
      <c r="G192" s="13" t="s">
        <v>14</v>
      </c>
      <c r="H192" s="76" t="s">
        <v>17</v>
      </c>
      <c r="I192" s="21"/>
      <c r="K192" s="7">
        <v>16.0</v>
      </c>
      <c r="M192" s="7">
        <v>380.0</v>
      </c>
    </row>
    <row r="193" ht="15.75" customHeight="1">
      <c r="A193" s="44">
        <v>46224.0</v>
      </c>
      <c r="B193" s="13" t="s">
        <v>101</v>
      </c>
      <c r="C193" s="81" t="s">
        <v>103</v>
      </c>
      <c r="D193" s="33">
        <v>500.0</v>
      </c>
      <c r="E193" s="13">
        <v>500.0</v>
      </c>
      <c r="F193" s="44">
        <v>46224.0</v>
      </c>
      <c r="G193" s="13" t="s">
        <v>14</v>
      </c>
      <c r="H193" s="76" t="s">
        <v>17</v>
      </c>
      <c r="I193" s="21"/>
      <c r="K193" s="7">
        <v>18.0</v>
      </c>
      <c r="M193" s="7">
        <v>380.0</v>
      </c>
    </row>
    <row r="194" ht="15.75" customHeight="1">
      <c r="A194" s="44">
        <v>46224.0</v>
      </c>
      <c r="B194" s="13" t="s">
        <v>217</v>
      </c>
      <c r="C194" s="13" t="s">
        <v>612</v>
      </c>
      <c r="D194" s="33">
        <v>1375.0</v>
      </c>
      <c r="E194" s="13">
        <v>1355.0</v>
      </c>
      <c r="F194" s="44">
        <v>46224.0</v>
      </c>
      <c r="G194" s="13" t="s">
        <v>14</v>
      </c>
      <c r="H194" s="76" t="s">
        <v>17</v>
      </c>
      <c r="I194" s="21"/>
      <c r="K194" s="7">
        <v>20.0</v>
      </c>
      <c r="M194" s="7">
        <v>380.0</v>
      </c>
    </row>
    <row r="195" ht="15.75" customHeight="1">
      <c r="A195" s="44">
        <v>46224.0</v>
      </c>
      <c r="B195" s="116" t="s">
        <v>10</v>
      </c>
      <c r="C195" s="117" t="s">
        <v>12</v>
      </c>
      <c r="D195" s="226">
        <v>70.0</v>
      </c>
      <c r="E195" s="228">
        <v>70.0</v>
      </c>
      <c r="F195" s="229">
        <v>46224.0</v>
      </c>
      <c r="G195" s="116" t="s">
        <v>14</v>
      </c>
      <c r="H195" s="230" t="s">
        <v>17</v>
      </c>
      <c r="I195" s="21"/>
      <c r="L195" s="48" t="s">
        <v>598</v>
      </c>
    </row>
    <row r="196" ht="15.75" customHeight="1">
      <c r="A196" s="44">
        <v>46224.0</v>
      </c>
      <c r="B196" s="13" t="s">
        <v>25</v>
      </c>
      <c r="C196" s="13" t="s">
        <v>89</v>
      </c>
      <c r="D196" s="33">
        <v>105.0</v>
      </c>
      <c r="E196" s="13">
        <v>105.0</v>
      </c>
      <c r="F196" s="44">
        <v>46224.0</v>
      </c>
      <c r="G196" s="13" t="s">
        <v>14</v>
      </c>
      <c r="H196" s="76" t="s">
        <v>17</v>
      </c>
      <c r="I196" s="21"/>
      <c r="K196" s="7">
        <v>15.0</v>
      </c>
      <c r="L196" s="7" t="s">
        <v>415</v>
      </c>
    </row>
    <row r="197" ht="15.75" customHeight="1">
      <c r="A197" s="44">
        <v>46224.0</v>
      </c>
      <c r="B197" s="13" t="s">
        <v>334</v>
      </c>
      <c r="C197" s="13" t="s">
        <v>619</v>
      </c>
      <c r="D197" s="33">
        <v>75.0</v>
      </c>
      <c r="E197" s="13">
        <v>75.0</v>
      </c>
      <c r="F197" s="44">
        <v>46224.0</v>
      </c>
      <c r="G197" s="13" t="s">
        <v>14</v>
      </c>
      <c r="H197" s="76" t="s">
        <v>17</v>
      </c>
      <c r="I197" s="21"/>
      <c r="K197" s="231"/>
      <c r="L197" s="231"/>
      <c r="M197" s="231"/>
    </row>
    <row r="198" ht="15.75" customHeight="1">
      <c r="A198" s="44">
        <v>46224.0</v>
      </c>
      <c r="B198" s="13" t="s">
        <v>622</v>
      </c>
      <c r="C198" s="13" t="s">
        <v>624</v>
      </c>
      <c r="D198" s="33">
        <v>530.0</v>
      </c>
      <c r="E198" s="13">
        <v>530.0</v>
      </c>
      <c r="F198" s="44">
        <v>46224.0</v>
      </c>
      <c r="G198" s="13" t="s">
        <v>14</v>
      </c>
      <c r="H198" s="76" t="s">
        <v>17</v>
      </c>
      <c r="I198" s="21"/>
      <c r="K198" s="233">
        <v>19.0</v>
      </c>
      <c r="L198" s="231"/>
      <c r="M198" s="233">
        <v>380.0</v>
      </c>
    </row>
    <row r="199" ht="15.75" customHeight="1">
      <c r="A199" s="145">
        <v>46224.0</v>
      </c>
      <c r="B199" s="65" t="s">
        <v>118</v>
      </c>
      <c r="C199" s="65" t="s">
        <v>626</v>
      </c>
      <c r="D199" s="168">
        <v>3240.0</v>
      </c>
      <c r="E199" s="65">
        <v>3240.0</v>
      </c>
      <c r="F199" s="145">
        <v>46224.0</v>
      </c>
      <c r="G199" s="65" t="s">
        <v>36</v>
      </c>
      <c r="H199" s="65" t="s">
        <v>56</v>
      </c>
      <c r="I199" s="97"/>
      <c r="K199" s="231"/>
      <c r="L199" s="233" t="s">
        <v>14</v>
      </c>
      <c r="M199" s="235">
        <f>SUM(M193:M198)</f>
        <v>1140</v>
      </c>
    </row>
    <row r="200" ht="15.75" customHeight="1">
      <c r="A200" s="10">
        <v>46225.0</v>
      </c>
      <c r="B200" s="95" t="s">
        <v>38</v>
      </c>
      <c r="C200" s="95" t="s">
        <v>40</v>
      </c>
      <c r="D200" s="17">
        <v>1000.0</v>
      </c>
      <c r="E200" s="95">
        <v>1000.0</v>
      </c>
      <c r="F200" s="19">
        <v>46225.0</v>
      </c>
      <c r="G200" s="95" t="s">
        <v>14</v>
      </c>
      <c r="H200" s="23" t="s">
        <v>17</v>
      </c>
      <c r="I200" s="27"/>
      <c r="K200" s="231"/>
      <c r="L200" s="231"/>
      <c r="M200" s="231"/>
    </row>
    <row r="201" ht="15.75" customHeight="1">
      <c r="A201" s="30">
        <v>46225.0</v>
      </c>
      <c r="B201" s="13" t="s">
        <v>38</v>
      </c>
      <c r="C201" s="13" t="s">
        <v>362</v>
      </c>
      <c r="D201" s="33">
        <v>1000.0</v>
      </c>
      <c r="E201" s="13">
        <v>1000.0</v>
      </c>
      <c r="F201" s="44">
        <v>46225.0</v>
      </c>
      <c r="G201" s="13" t="s">
        <v>14</v>
      </c>
      <c r="H201" s="76" t="s">
        <v>17</v>
      </c>
      <c r="I201" s="38"/>
      <c r="K201" s="231"/>
      <c r="L201" s="231"/>
      <c r="M201" s="231"/>
    </row>
    <row r="202" ht="15.75" customHeight="1">
      <c r="A202" s="30">
        <v>46225.0</v>
      </c>
      <c r="B202" s="116" t="s">
        <v>10</v>
      </c>
      <c r="C202" s="117" t="s">
        <v>12</v>
      </c>
      <c r="D202" s="226">
        <v>70.0</v>
      </c>
      <c r="E202" s="13">
        <v>70.0</v>
      </c>
      <c r="F202" s="44">
        <v>46225.0</v>
      </c>
      <c r="G202" s="116" t="s">
        <v>14</v>
      </c>
      <c r="H202" s="230" t="s">
        <v>17</v>
      </c>
      <c r="I202" s="38"/>
      <c r="K202" s="231"/>
      <c r="L202" s="231"/>
      <c r="M202" s="231"/>
    </row>
    <row r="203" ht="15.75" customHeight="1">
      <c r="A203" s="30">
        <v>46225.0</v>
      </c>
      <c r="B203" s="13" t="s">
        <v>635</v>
      </c>
      <c r="C203" s="13" t="s">
        <v>636</v>
      </c>
      <c r="D203" s="33">
        <v>80.0</v>
      </c>
      <c r="E203" s="13">
        <v>80.0</v>
      </c>
      <c r="F203" s="44">
        <v>46225.0</v>
      </c>
      <c r="G203" s="13" t="s">
        <v>14</v>
      </c>
      <c r="H203" s="76" t="s">
        <v>17</v>
      </c>
      <c r="I203" s="38"/>
      <c r="K203" s="231"/>
      <c r="L203" s="231"/>
      <c r="M203" s="231"/>
    </row>
    <row r="204" ht="15.75" customHeight="1">
      <c r="A204" s="30">
        <v>46225.0</v>
      </c>
      <c r="B204" s="13" t="s">
        <v>25</v>
      </c>
      <c r="C204" s="13" t="s">
        <v>89</v>
      </c>
      <c r="D204" s="33">
        <v>105.0</v>
      </c>
      <c r="E204" s="13">
        <v>105.0</v>
      </c>
      <c r="F204" s="44">
        <v>46225.0</v>
      </c>
      <c r="G204" s="13" t="s">
        <v>14</v>
      </c>
      <c r="H204" s="76" t="s">
        <v>17</v>
      </c>
      <c r="I204" s="38"/>
      <c r="K204" s="231"/>
      <c r="L204" s="231"/>
      <c r="M204" s="231"/>
    </row>
    <row r="205" ht="15.75" customHeight="1">
      <c r="A205" s="151">
        <v>46225.0</v>
      </c>
      <c r="B205" s="88" t="s">
        <v>43</v>
      </c>
      <c r="C205" s="88" t="s">
        <v>638</v>
      </c>
      <c r="D205" s="173">
        <v>22600.0</v>
      </c>
      <c r="E205" s="88">
        <v>22600.0</v>
      </c>
      <c r="F205" s="127">
        <v>46225.0</v>
      </c>
      <c r="G205" s="88" t="s">
        <v>14</v>
      </c>
      <c r="H205" s="101" t="s">
        <v>17</v>
      </c>
      <c r="I205" s="64"/>
    </row>
    <row r="206" ht="15.75" customHeight="1">
      <c r="A206" s="102">
        <v>46226.0</v>
      </c>
      <c r="B206" s="41" t="s">
        <v>101</v>
      </c>
      <c r="C206" s="241" t="s">
        <v>103</v>
      </c>
      <c r="D206" s="161">
        <v>1000.0</v>
      </c>
      <c r="E206" s="41">
        <v>1000.0</v>
      </c>
      <c r="F206" s="102">
        <v>46226.0</v>
      </c>
      <c r="G206" s="41" t="s">
        <v>14</v>
      </c>
      <c r="H206" s="106" t="s">
        <v>17</v>
      </c>
      <c r="I206" s="107"/>
    </row>
    <row r="207" ht="15.75" customHeight="1">
      <c r="A207" s="44">
        <v>46226.0</v>
      </c>
      <c r="B207" s="242" t="s">
        <v>640</v>
      </c>
      <c r="C207" s="242" t="s">
        <v>642</v>
      </c>
      <c r="D207" s="243"/>
      <c r="E207" s="244"/>
      <c r="F207" s="244"/>
      <c r="G207" s="244"/>
      <c r="H207" s="244"/>
      <c r="I207" s="21"/>
    </row>
    <row r="208" ht="15.75" customHeight="1">
      <c r="A208" s="44">
        <v>46226.0</v>
      </c>
      <c r="B208" s="13" t="s">
        <v>646</v>
      </c>
      <c r="C208" s="13" t="s">
        <v>647</v>
      </c>
      <c r="D208" s="33">
        <v>1560.0</v>
      </c>
      <c r="E208" s="13">
        <v>1560.0</v>
      </c>
      <c r="F208" s="44">
        <v>46226.0</v>
      </c>
      <c r="G208" s="13" t="s">
        <v>14</v>
      </c>
      <c r="H208" s="76" t="s">
        <v>17</v>
      </c>
      <c r="I208" s="21"/>
    </row>
    <row r="209" ht="15.75" customHeight="1">
      <c r="A209" s="44">
        <v>46226.0</v>
      </c>
      <c r="B209" s="13" t="s">
        <v>401</v>
      </c>
      <c r="C209" s="13" t="s">
        <v>651</v>
      </c>
      <c r="D209" s="33">
        <v>1250.0</v>
      </c>
      <c r="E209" s="13">
        <v>1250.0</v>
      </c>
      <c r="F209" s="44">
        <v>46228.0</v>
      </c>
      <c r="G209" s="13" t="s">
        <v>55</v>
      </c>
      <c r="H209" s="13" t="s">
        <v>56</v>
      </c>
      <c r="I209" s="21"/>
    </row>
    <row r="210" ht="15.75" customHeight="1">
      <c r="A210" s="44">
        <v>46226.0</v>
      </c>
      <c r="B210" s="116" t="s">
        <v>10</v>
      </c>
      <c r="C210" s="117" t="s">
        <v>12</v>
      </c>
      <c r="D210" s="33">
        <v>70.0</v>
      </c>
      <c r="E210" s="13">
        <v>70.0</v>
      </c>
      <c r="F210" s="44">
        <v>46226.0</v>
      </c>
      <c r="G210" s="116" t="s">
        <v>14</v>
      </c>
      <c r="H210" s="230" t="s">
        <v>17</v>
      </c>
      <c r="I210" s="21"/>
    </row>
    <row r="211" ht="15.75" customHeight="1">
      <c r="A211" s="44">
        <v>46226.0</v>
      </c>
      <c r="B211" s="13" t="s">
        <v>25</v>
      </c>
      <c r="C211" s="13" t="s">
        <v>26</v>
      </c>
      <c r="D211" s="33">
        <v>140.0</v>
      </c>
      <c r="E211" s="13">
        <v>140.0</v>
      </c>
      <c r="F211" s="44">
        <v>46226.0</v>
      </c>
      <c r="G211" s="13" t="s">
        <v>14</v>
      </c>
      <c r="H211" s="76" t="s">
        <v>17</v>
      </c>
      <c r="I211" s="21"/>
    </row>
    <row r="212" ht="15.75" customHeight="1">
      <c r="A212" s="44">
        <v>46226.0</v>
      </c>
      <c r="B212" s="13" t="s">
        <v>121</v>
      </c>
      <c r="C212" s="13" t="s">
        <v>656</v>
      </c>
      <c r="D212" s="33">
        <v>81150.0</v>
      </c>
      <c r="E212" s="13">
        <v>70000.0</v>
      </c>
      <c r="F212" s="245">
        <v>46228.0</v>
      </c>
      <c r="G212" s="246" t="s">
        <v>55</v>
      </c>
      <c r="H212" s="13" t="s">
        <v>42</v>
      </c>
      <c r="I212" s="21"/>
    </row>
    <row r="213" ht="15.75" customHeight="1">
      <c r="A213" s="44">
        <v>46226.0</v>
      </c>
      <c r="B213" s="13" t="s">
        <v>121</v>
      </c>
      <c r="C213" s="13" t="s">
        <v>656</v>
      </c>
      <c r="D213" s="33"/>
      <c r="E213" s="13">
        <v>11150.0</v>
      </c>
      <c r="F213" s="245">
        <v>46228.0</v>
      </c>
      <c r="G213" s="246" t="s">
        <v>55</v>
      </c>
      <c r="H213" s="13" t="s">
        <v>56</v>
      </c>
      <c r="I213" s="21"/>
    </row>
    <row r="214" ht="15.75" customHeight="1">
      <c r="A214" s="145">
        <v>46226.0</v>
      </c>
      <c r="B214" s="65" t="s">
        <v>225</v>
      </c>
      <c r="C214" s="65" t="s">
        <v>661</v>
      </c>
      <c r="D214" s="168">
        <v>1560.0</v>
      </c>
      <c r="E214" s="65">
        <v>1560.0</v>
      </c>
      <c r="F214" s="247">
        <v>46228.0</v>
      </c>
      <c r="G214" s="248" t="s">
        <v>55</v>
      </c>
      <c r="H214" s="248" t="s">
        <v>59</v>
      </c>
      <c r="I214" s="97"/>
    </row>
    <row r="215" ht="15.75" customHeight="1">
      <c r="A215" s="10">
        <v>46227.0</v>
      </c>
      <c r="B215" s="95" t="s">
        <v>63</v>
      </c>
      <c r="C215" s="95" t="s">
        <v>663</v>
      </c>
      <c r="D215" s="17">
        <v>24398.0</v>
      </c>
      <c r="E215" s="95">
        <v>24398.0</v>
      </c>
      <c r="F215" s="19">
        <v>46227.0</v>
      </c>
      <c r="G215" s="95" t="s">
        <v>14</v>
      </c>
      <c r="H215" s="23" t="s">
        <v>17</v>
      </c>
      <c r="I215" s="27"/>
    </row>
    <row r="216" ht="15.75" customHeight="1">
      <c r="A216" s="30">
        <v>46227.0</v>
      </c>
      <c r="B216" s="13" t="s">
        <v>68</v>
      </c>
      <c r="C216" s="13" t="s">
        <v>664</v>
      </c>
      <c r="D216" s="33">
        <v>1475.0</v>
      </c>
      <c r="E216" s="13">
        <v>1475.0</v>
      </c>
      <c r="F216" s="44">
        <v>46226.0</v>
      </c>
      <c r="G216" s="13" t="s">
        <v>55</v>
      </c>
      <c r="H216" s="13" t="s">
        <v>42</v>
      </c>
      <c r="I216" s="38"/>
    </row>
    <row r="217" ht="15.75" customHeight="1">
      <c r="A217" s="30">
        <v>46227.0</v>
      </c>
      <c r="B217" s="13" t="s">
        <v>666</v>
      </c>
      <c r="C217" s="13" t="s">
        <v>667</v>
      </c>
      <c r="D217" s="33">
        <v>3180.0</v>
      </c>
      <c r="E217" s="13">
        <v>3180.0</v>
      </c>
      <c r="F217" s="44">
        <v>46228.0</v>
      </c>
      <c r="G217" s="13" t="s">
        <v>55</v>
      </c>
      <c r="H217" s="13" t="s">
        <v>59</v>
      </c>
      <c r="I217" s="38"/>
    </row>
    <row r="218" ht="15.75" customHeight="1">
      <c r="A218" s="30">
        <v>46227.0</v>
      </c>
      <c r="B218" s="242" t="s">
        <v>669</v>
      </c>
      <c r="C218" s="242" t="s">
        <v>671</v>
      </c>
      <c r="D218" s="243">
        <v>9000.0</v>
      </c>
      <c r="E218" s="242">
        <v>9000.0</v>
      </c>
      <c r="F218" s="250">
        <v>46227.0</v>
      </c>
      <c r="G218" s="242" t="s">
        <v>397</v>
      </c>
      <c r="H218" s="242" t="s">
        <v>397</v>
      </c>
      <c r="I218" s="38"/>
    </row>
    <row r="219" ht="15.75" customHeight="1">
      <c r="A219" s="30">
        <v>46227.0</v>
      </c>
      <c r="B219" s="13" t="s">
        <v>38</v>
      </c>
      <c r="C219" s="13" t="s">
        <v>40</v>
      </c>
      <c r="D219" s="33">
        <v>1000.0</v>
      </c>
      <c r="E219" s="13">
        <v>1000.0</v>
      </c>
      <c r="F219" s="44">
        <v>46227.0</v>
      </c>
      <c r="G219" s="13" t="s">
        <v>14</v>
      </c>
      <c r="H219" s="76" t="s">
        <v>17</v>
      </c>
      <c r="I219" s="38"/>
    </row>
    <row r="220" ht="15.75" customHeight="1">
      <c r="A220" s="30">
        <v>46227.0</v>
      </c>
      <c r="B220" s="13" t="s">
        <v>38</v>
      </c>
      <c r="C220" s="13" t="s">
        <v>362</v>
      </c>
      <c r="D220" s="33">
        <v>1000.0</v>
      </c>
      <c r="E220" s="13">
        <v>1000.0</v>
      </c>
      <c r="F220" s="44">
        <v>46227.0</v>
      </c>
      <c r="G220" s="13" t="s">
        <v>14</v>
      </c>
      <c r="H220" s="76" t="s">
        <v>17</v>
      </c>
      <c r="I220" s="38"/>
    </row>
    <row r="221" ht="15.75" customHeight="1">
      <c r="A221" s="30">
        <v>46227.0</v>
      </c>
      <c r="B221" s="13" t="s">
        <v>225</v>
      </c>
      <c r="C221" s="13" t="s">
        <v>673</v>
      </c>
      <c r="D221" s="33">
        <v>4025.0</v>
      </c>
      <c r="E221" s="13">
        <v>4025.0</v>
      </c>
      <c r="F221" s="44">
        <v>46228.0</v>
      </c>
      <c r="G221" s="13" t="s">
        <v>55</v>
      </c>
      <c r="H221" s="13" t="s">
        <v>59</v>
      </c>
      <c r="I221" s="38"/>
    </row>
    <row r="222" ht="15.75" customHeight="1">
      <c r="A222" s="30">
        <v>46227.0</v>
      </c>
      <c r="B222" s="116" t="s">
        <v>10</v>
      </c>
      <c r="C222" s="117" t="s">
        <v>12</v>
      </c>
      <c r="D222" s="33">
        <v>70.0</v>
      </c>
      <c r="E222" s="13">
        <v>70.0</v>
      </c>
      <c r="F222" s="44">
        <v>46227.0</v>
      </c>
      <c r="G222" s="116" t="s">
        <v>14</v>
      </c>
      <c r="H222" s="230" t="s">
        <v>17</v>
      </c>
      <c r="I222" s="38"/>
    </row>
    <row r="223" ht="15.75" customHeight="1">
      <c r="A223" s="30">
        <v>46227.0</v>
      </c>
      <c r="B223" s="13" t="s">
        <v>25</v>
      </c>
      <c r="C223" s="13" t="s">
        <v>89</v>
      </c>
      <c r="D223" s="33">
        <v>105.0</v>
      </c>
      <c r="E223" s="13">
        <v>105.0</v>
      </c>
      <c r="F223" s="44">
        <v>46227.0</v>
      </c>
      <c r="G223" s="13" t="s">
        <v>14</v>
      </c>
      <c r="H223" s="76" t="s">
        <v>17</v>
      </c>
      <c r="I223" s="38"/>
    </row>
    <row r="224" ht="15.75" customHeight="1">
      <c r="A224" s="151">
        <v>46227.0</v>
      </c>
      <c r="B224" s="88" t="s">
        <v>121</v>
      </c>
      <c r="C224" s="88" t="s">
        <v>676</v>
      </c>
      <c r="D224" s="173">
        <v>74300.0</v>
      </c>
      <c r="E224" s="88">
        <v>74300.0</v>
      </c>
      <c r="F224" s="127">
        <v>46235.0</v>
      </c>
      <c r="G224" s="88" t="s">
        <v>55</v>
      </c>
      <c r="H224" s="88" t="s">
        <v>42</v>
      </c>
      <c r="I224" s="64"/>
    </row>
    <row r="225" ht="15.75" customHeight="1">
      <c r="A225" s="102">
        <v>46228.0</v>
      </c>
      <c r="B225" s="41" t="s">
        <v>678</v>
      </c>
      <c r="C225" s="41" t="s">
        <v>679</v>
      </c>
      <c r="D225" s="253">
        <v>18200.0</v>
      </c>
      <c r="E225" s="41">
        <v>18200.0</v>
      </c>
      <c r="F225" s="102">
        <v>46233.0</v>
      </c>
      <c r="G225" s="41" t="s">
        <v>36</v>
      </c>
      <c r="H225" s="41" t="s">
        <v>42</v>
      </c>
      <c r="I225" s="107"/>
    </row>
    <row r="226" ht="15.75" customHeight="1">
      <c r="A226" s="44">
        <v>46228.0</v>
      </c>
      <c r="B226" s="13" t="s">
        <v>682</v>
      </c>
      <c r="C226" s="13" t="s">
        <v>683</v>
      </c>
      <c r="D226" s="254">
        <v>64010.0</v>
      </c>
      <c r="E226" s="13">
        <v>64010.0</v>
      </c>
      <c r="F226" s="44">
        <v>46235.0</v>
      </c>
      <c r="G226" s="13" t="s">
        <v>55</v>
      </c>
      <c r="H226" s="13" t="s">
        <v>42</v>
      </c>
      <c r="I226" s="21"/>
    </row>
    <row r="227" ht="15.75" customHeight="1">
      <c r="A227" s="44">
        <v>46228.0</v>
      </c>
      <c r="B227" s="13" t="s">
        <v>38</v>
      </c>
      <c r="C227" s="13" t="s">
        <v>362</v>
      </c>
      <c r="D227" s="33">
        <v>1000.0</v>
      </c>
      <c r="E227" s="13">
        <v>1000.0</v>
      </c>
      <c r="F227" s="44">
        <v>46228.0</v>
      </c>
      <c r="G227" s="13" t="s">
        <v>14</v>
      </c>
      <c r="H227" s="76" t="s">
        <v>17</v>
      </c>
      <c r="I227" s="21"/>
    </row>
    <row r="228" ht="15.75" customHeight="1">
      <c r="A228" s="44">
        <v>46228.0</v>
      </c>
      <c r="B228" s="13" t="s">
        <v>685</v>
      </c>
      <c r="C228" s="13" t="s">
        <v>687</v>
      </c>
      <c r="D228" s="33">
        <v>35717.8</v>
      </c>
      <c r="E228" s="13">
        <v>35717.0</v>
      </c>
      <c r="F228" s="44">
        <v>46228.0</v>
      </c>
      <c r="G228" s="13" t="s">
        <v>55</v>
      </c>
      <c r="H228" s="13" t="s">
        <v>56</v>
      </c>
      <c r="I228" s="21"/>
    </row>
    <row r="229" ht="15.75" customHeight="1">
      <c r="A229" s="44">
        <v>46228.0</v>
      </c>
      <c r="B229" s="13" t="s">
        <v>688</v>
      </c>
      <c r="C229" s="13" t="s">
        <v>689</v>
      </c>
      <c r="D229" s="254">
        <v>55300.0</v>
      </c>
      <c r="E229" s="13">
        <v>55300.0</v>
      </c>
      <c r="F229" s="44">
        <v>46235.0</v>
      </c>
      <c r="G229" s="13" t="s">
        <v>55</v>
      </c>
      <c r="H229" s="13" t="s">
        <v>42</v>
      </c>
      <c r="I229" s="21"/>
    </row>
    <row r="230" ht="15.75" customHeight="1">
      <c r="A230" s="44">
        <v>46228.0</v>
      </c>
      <c r="B230" s="13" t="s">
        <v>648</v>
      </c>
      <c r="C230" s="13" t="s">
        <v>690</v>
      </c>
      <c r="D230" s="33">
        <v>8000.0</v>
      </c>
      <c r="E230" s="13">
        <v>8000.0</v>
      </c>
      <c r="F230" s="44">
        <v>46228.0</v>
      </c>
      <c r="G230" s="13" t="s">
        <v>14</v>
      </c>
      <c r="H230" s="76" t="s">
        <v>17</v>
      </c>
      <c r="I230" s="21"/>
    </row>
    <row r="231" ht="15.75" customHeight="1">
      <c r="A231" s="44">
        <v>46228.0</v>
      </c>
      <c r="B231" s="116" t="s">
        <v>10</v>
      </c>
      <c r="C231" s="117" t="s">
        <v>12</v>
      </c>
      <c r="D231" s="33">
        <v>70.0</v>
      </c>
      <c r="E231" s="13">
        <v>70.0</v>
      </c>
      <c r="F231" s="44">
        <v>46228.0</v>
      </c>
      <c r="G231" s="13" t="s">
        <v>14</v>
      </c>
      <c r="H231" s="76" t="s">
        <v>17</v>
      </c>
      <c r="I231" s="21"/>
    </row>
    <row r="232" ht="15.75" customHeight="1">
      <c r="A232" s="44">
        <v>46228.0</v>
      </c>
      <c r="B232" s="13" t="s">
        <v>25</v>
      </c>
      <c r="C232" s="13" t="s">
        <v>26</v>
      </c>
      <c r="D232" s="33">
        <v>140.0</v>
      </c>
      <c r="E232" s="13">
        <v>140.0</v>
      </c>
      <c r="F232" s="44">
        <v>46228.0</v>
      </c>
      <c r="G232" s="13" t="s">
        <v>14</v>
      </c>
      <c r="H232" s="76" t="s">
        <v>17</v>
      </c>
      <c r="I232" s="21"/>
    </row>
    <row r="233" ht="15.75" customHeight="1">
      <c r="A233" s="44">
        <v>46228.0</v>
      </c>
      <c r="B233" s="13" t="s">
        <v>248</v>
      </c>
      <c r="C233" s="13" t="s">
        <v>695</v>
      </c>
      <c r="D233" s="33">
        <v>440.0</v>
      </c>
      <c r="E233" s="13">
        <v>440.0</v>
      </c>
      <c r="F233" s="44">
        <v>46228.0</v>
      </c>
      <c r="G233" s="13" t="s">
        <v>14</v>
      </c>
      <c r="H233" s="76" t="s">
        <v>17</v>
      </c>
      <c r="I233" s="21"/>
    </row>
    <row r="234" ht="15.75" customHeight="1">
      <c r="A234" s="44">
        <v>46228.0</v>
      </c>
      <c r="B234" s="13" t="s">
        <v>697</v>
      </c>
      <c r="C234" s="13" t="s">
        <v>698</v>
      </c>
      <c r="D234" s="33">
        <v>12000.0</v>
      </c>
      <c r="E234" s="13">
        <v>12000.0</v>
      </c>
      <c r="F234" s="44">
        <v>46235.0</v>
      </c>
      <c r="G234" s="13" t="s">
        <v>36</v>
      </c>
      <c r="H234" s="13" t="s">
        <v>42</v>
      </c>
      <c r="I234" s="21"/>
    </row>
    <row r="235" ht="15.75" customHeight="1">
      <c r="A235" s="44">
        <v>46228.0</v>
      </c>
      <c r="B235" s="13" t="s">
        <v>699</v>
      </c>
      <c r="C235" s="13" t="s">
        <v>700</v>
      </c>
      <c r="D235" s="254">
        <v>27300.0</v>
      </c>
      <c r="E235" s="13">
        <v>27300.0</v>
      </c>
      <c r="F235" s="44">
        <v>46228.0</v>
      </c>
      <c r="G235" s="13" t="s">
        <v>701</v>
      </c>
      <c r="H235" s="13" t="s">
        <v>190</v>
      </c>
      <c r="I235" s="21"/>
    </row>
    <row r="236" ht="15.75" customHeight="1">
      <c r="A236" s="44">
        <v>46228.0</v>
      </c>
      <c r="B236" s="13" t="s">
        <v>702</v>
      </c>
      <c r="C236" s="13" t="s">
        <v>703</v>
      </c>
      <c r="D236" s="254">
        <v>9400.0</v>
      </c>
      <c r="E236" s="13">
        <v>9400.0</v>
      </c>
      <c r="F236" s="44">
        <v>46228.0</v>
      </c>
      <c r="G236" s="13" t="s">
        <v>55</v>
      </c>
      <c r="H236" s="13" t="s">
        <v>42</v>
      </c>
      <c r="I236" s="21"/>
    </row>
    <row r="237" ht="15.75" customHeight="1">
      <c r="A237" s="44">
        <v>46228.0</v>
      </c>
      <c r="B237" s="13" t="s">
        <v>275</v>
      </c>
      <c r="C237" s="13" t="s">
        <v>704</v>
      </c>
      <c r="D237" s="33">
        <v>260.0</v>
      </c>
      <c r="E237" s="13">
        <v>260.0</v>
      </c>
      <c r="F237" s="44">
        <v>46228.0</v>
      </c>
      <c r="G237" s="13" t="s">
        <v>14</v>
      </c>
      <c r="H237" s="76" t="s">
        <v>17</v>
      </c>
      <c r="I237" s="21"/>
      <c r="J237" s="7" t="s">
        <v>705</v>
      </c>
    </row>
    <row r="238" ht="15.75" customHeight="1">
      <c r="A238" s="44">
        <v>46228.0</v>
      </c>
      <c r="B238" s="13" t="s">
        <v>52</v>
      </c>
      <c r="C238" s="13" t="s">
        <v>706</v>
      </c>
      <c r="D238" s="33">
        <v>19500.0</v>
      </c>
      <c r="E238" s="13">
        <v>19500.0</v>
      </c>
      <c r="F238" s="44">
        <v>46228.0</v>
      </c>
      <c r="G238" s="13" t="s">
        <v>14</v>
      </c>
      <c r="H238" s="76" t="s">
        <v>17</v>
      </c>
      <c r="I238" s="21"/>
    </row>
    <row r="239" ht="15.75" customHeight="1">
      <c r="A239" s="44">
        <v>46228.0</v>
      </c>
      <c r="B239" s="255" t="s">
        <v>21</v>
      </c>
      <c r="C239" s="255" t="s">
        <v>707</v>
      </c>
      <c r="D239" s="256">
        <v>13300.0</v>
      </c>
      <c r="E239" s="255">
        <v>13300.0</v>
      </c>
      <c r="F239" s="234"/>
      <c r="G239" s="234"/>
      <c r="H239" s="234"/>
      <c r="I239" s="13" t="s">
        <v>710</v>
      </c>
    </row>
    <row r="240" ht="15.75" customHeight="1">
      <c r="A240" s="145">
        <v>46228.0</v>
      </c>
      <c r="B240" s="65" t="s">
        <v>275</v>
      </c>
      <c r="C240" s="65" t="s">
        <v>711</v>
      </c>
      <c r="D240" s="168">
        <v>8564.0</v>
      </c>
      <c r="E240" s="65">
        <v>8564.0</v>
      </c>
      <c r="F240" s="145">
        <v>46228.0</v>
      </c>
      <c r="G240" s="65" t="s">
        <v>14</v>
      </c>
      <c r="H240" s="72" t="s">
        <v>17</v>
      </c>
      <c r="I240" s="97"/>
      <c r="J240" s="7" t="s">
        <v>705</v>
      </c>
    </row>
    <row r="241" ht="15.75" customHeight="1">
      <c r="A241" s="10">
        <v>46229.0</v>
      </c>
      <c r="B241" s="95" t="s">
        <v>401</v>
      </c>
      <c r="C241" s="95" t="s">
        <v>713</v>
      </c>
      <c r="D241" s="17">
        <v>3620.0</v>
      </c>
      <c r="E241" s="95">
        <v>3620.0</v>
      </c>
      <c r="F241" s="19">
        <v>46235.0</v>
      </c>
      <c r="G241" s="95" t="s">
        <v>55</v>
      </c>
      <c r="H241" s="95" t="s">
        <v>503</v>
      </c>
      <c r="I241" s="27"/>
    </row>
    <row r="242" ht="15.75" customHeight="1">
      <c r="A242" s="30">
        <v>46229.0</v>
      </c>
      <c r="B242" s="13" t="s">
        <v>574</v>
      </c>
      <c r="C242" s="13" t="s">
        <v>393</v>
      </c>
      <c r="D242" s="33">
        <v>4900.0</v>
      </c>
      <c r="E242" s="13">
        <v>4900.0</v>
      </c>
      <c r="F242" s="44">
        <v>46229.0</v>
      </c>
      <c r="G242" s="13" t="s">
        <v>14</v>
      </c>
      <c r="H242" s="76" t="s">
        <v>17</v>
      </c>
      <c r="I242" s="38"/>
    </row>
    <row r="243" ht="15.75" customHeight="1">
      <c r="A243" s="30">
        <v>46229.0</v>
      </c>
      <c r="B243" s="13" t="s">
        <v>405</v>
      </c>
      <c r="C243" s="13" t="s">
        <v>716</v>
      </c>
      <c r="D243" s="33">
        <v>6200.0</v>
      </c>
      <c r="E243" s="13">
        <v>6200.0</v>
      </c>
      <c r="F243" s="44">
        <v>46235.0</v>
      </c>
      <c r="G243" s="13" t="s">
        <v>55</v>
      </c>
      <c r="H243" s="13" t="s">
        <v>42</v>
      </c>
      <c r="I243" s="38"/>
    </row>
    <row r="244" ht="15.75" customHeight="1">
      <c r="A244" s="30">
        <v>46229.0</v>
      </c>
      <c r="B244" s="13" t="s">
        <v>38</v>
      </c>
      <c r="C244" s="13" t="s">
        <v>40</v>
      </c>
      <c r="D244" s="33">
        <v>1000.0</v>
      </c>
      <c r="E244" s="13">
        <v>1000.0</v>
      </c>
      <c r="F244" s="44">
        <v>46229.0</v>
      </c>
      <c r="G244" s="13" t="s">
        <v>14</v>
      </c>
      <c r="H244" s="76" t="s">
        <v>17</v>
      </c>
      <c r="I244" s="38"/>
    </row>
    <row r="245" ht="15.75" customHeight="1">
      <c r="A245" s="30">
        <v>46229.0</v>
      </c>
      <c r="B245" s="13" t="s">
        <v>38</v>
      </c>
      <c r="C245" s="13" t="s">
        <v>362</v>
      </c>
      <c r="D245" s="33">
        <v>1000.0</v>
      </c>
      <c r="E245" s="13">
        <v>1000.0</v>
      </c>
      <c r="F245" s="44">
        <v>46229.0</v>
      </c>
      <c r="G245" s="13" t="s">
        <v>14</v>
      </c>
      <c r="H245" s="76" t="s">
        <v>17</v>
      </c>
      <c r="I245" s="38"/>
    </row>
    <row r="246" ht="15.75" customHeight="1">
      <c r="A246" s="30">
        <v>46229.0</v>
      </c>
      <c r="B246" s="116" t="s">
        <v>10</v>
      </c>
      <c r="C246" s="117" t="s">
        <v>12</v>
      </c>
      <c r="D246" s="33">
        <v>70.0</v>
      </c>
      <c r="E246" s="13">
        <v>70.0</v>
      </c>
      <c r="F246" s="44">
        <v>46229.0</v>
      </c>
      <c r="G246" s="13" t="s">
        <v>14</v>
      </c>
      <c r="H246" s="76" t="s">
        <v>17</v>
      </c>
      <c r="I246" s="38"/>
    </row>
    <row r="247" ht="15.75" customHeight="1">
      <c r="A247" s="30">
        <v>46229.0</v>
      </c>
      <c r="B247" s="13" t="s">
        <v>25</v>
      </c>
      <c r="C247" s="13" t="s">
        <v>26</v>
      </c>
      <c r="D247" s="33">
        <v>140.0</v>
      </c>
      <c r="E247" s="13">
        <v>140.0</v>
      </c>
      <c r="F247" s="44">
        <v>46229.0</v>
      </c>
      <c r="G247" s="13" t="s">
        <v>14</v>
      </c>
      <c r="H247" s="76" t="s">
        <v>17</v>
      </c>
      <c r="I247" s="38"/>
    </row>
    <row r="248" ht="15.75" customHeight="1">
      <c r="A248" s="30">
        <v>46229.0</v>
      </c>
      <c r="B248" s="13" t="s">
        <v>401</v>
      </c>
      <c r="C248" s="13" t="s">
        <v>723</v>
      </c>
      <c r="D248" s="33">
        <v>20570.0</v>
      </c>
      <c r="E248" s="13">
        <v>20570.0</v>
      </c>
      <c r="F248" s="44">
        <v>46235.0</v>
      </c>
      <c r="G248" s="13" t="s">
        <v>55</v>
      </c>
      <c r="H248" s="13" t="s">
        <v>503</v>
      </c>
      <c r="I248" s="38"/>
    </row>
    <row r="249" ht="15.75" customHeight="1">
      <c r="A249" s="258">
        <v>46229.0</v>
      </c>
      <c r="B249" s="260" t="s">
        <v>43</v>
      </c>
      <c r="C249" s="260" t="s">
        <v>210</v>
      </c>
      <c r="D249" s="261">
        <v>5300.0</v>
      </c>
      <c r="E249" s="260">
        <v>5300.0</v>
      </c>
      <c r="F249" s="262">
        <v>46235.0</v>
      </c>
      <c r="G249" s="260" t="s">
        <v>55</v>
      </c>
      <c r="H249" s="260" t="s">
        <v>503</v>
      </c>
      <c r="I249" s="263"/>
    </row>
    <row r="250" ht="15.75" customHeight="1">
      <c r="A250" s="102">
        <v>46230.0</v>
      </c>
      <c r="B250" s="41" t="s">
        <v>160</v>
      </c>
      <c r="C250" s="41" t="s">
        <v>729</v>
      </c>
      <c r="D250" s="161">
        <v>3850.0</v>
      </c>
      <c r="E250" s="41">
        <v>3850.0</v>
      </c>
      <c r="F250" s="102">
        <v>46230.0</v>
      </c>
      <c r="G250" s="41" t="s">
        <v>14</v>
      </c>
      <c r="H250" s="106" t="s">
        <v>17</v>
      </c>
      <c r="I250" s="107"/>
    </row>
    <row r="251" ht="15.75" customHeight="1">
      <c r="A251" s="44">
        <v>46230.0</v>
      </c>
      <c r="B251" s="13" t="s">
        <v>38</v>
      </c>
      <c r="C251" s="13" t="s">
        <v>40</v>
      </c>
      <c r="D251" s="33">
        <v>1000.0</v>
      </c>
      <c r="E251" s="13">
        <v>1000.0</v>
      </c>
      <c r="F251" s="44">
        <v>46230.0</v>
      </c>
      <c r="G251" s="13" t="s">
        <v>14</v>
      </c>
      <c r="H251" s="76" t="s">
        <v>17</v>
      </c>
      <c r="I251" s="21"/>
    </row>
    <row r="252" ht="15.75" customHeight="1">
      <c r="A252" s="44">
        <v>46230.0</v>
      </c>
      <c r="B252" s="13" t="s">
        <v>179</v>
      </c>
      <c r="C252" s="13" t="s">
        <v>731</v>
      </c>
      <c r="D252" s="33">
        <v>25000.0</v>
      </c>
      <c r="E252" s="13">
        <v>25000.0</v>
      </c>
      <c r="F252" s="44">
        <v>46230.0</v>
      </c>
      <c r="G252" s="13" t="s">
        <v>14</v>
      </c>
      <c r="H252" s="76" t="s">
        <v>17</v>
      </c>
      <c r="I252" s="21"/>
    </row>
    <row r="253" ht="15.75" customHeight="1">
      <c r="A253" s="44">
        <v>46230.0</v>
      </c>
      <c r="B253" s="13" t="s">
        <v>81</v>
      </c>
      <c r="C253" s="13" t="s">
        <v>733</v>
      </c>
      <c r="D253" s="33">
        <v>1470.0</v>
      </c>
      <c r="E253" s="13">
        <v>1470.0</v>
      </c>
      <c r="F253" s="44">
        <v>46230.0</v>
      </c>
      <c r="G253" s="13" t="s">
        <v>14</v>
      </c>
      <c r="H253" s="76" t="s">
        <v>17</v>
      </c>
      <c r="I253" s="21"/>
    </row>
    <row r="254" ht="15.75" customHeight="1">
      <c r="A254" s="44">
        <v>46230.0</v>
      </c>
      <c r="B254" s="116" t="s">
        <v>10</v>
      </c>
      <c r="C254" s="117" t="s">
        <v>12</v>
      </c>
      <c r="D254" s="33">
        <v>70.0</v>
      </c>
      <c r="E254" s="13">
        <v>70.0</v>
      </c>
      <c r="F254" s="44">
        <v>46230.0</v>
      </c>
      <c r="G254" s="13" t="s">
        <v>14</v>
      </c>
      <c r="H254" s="76" t="s">
        <v>17</v>
      </c>
      <c r="I254" s="21"/>
    </row>
    <row r="255" ht="15.75" customHeight="1">
      <c r="A255" s="44">
        <v>46230.0</v>
      </c>
      <c r="B255" s="13" t="s">
        <v>25</v>
      </c>
      <c r="C255" s="13" t="s">
        <v>26</v>
      </c>
      <c r="D255" s="33">
        <v>140.0</v>
      </c>
      <c r="E255" s="13">
        <v>140.0</v>
      </c>
      <c r="F255" s="44">
        <v>46230.0</v>
      </c>
      <c r="G255" s="13" t="s">
        <v>14</v>
      </c>
      <c r="H255" s="76" t="s">
        <v>17</v>
      </c>
      <c r="I255" s="21"/>
    </row>
    <row r="256" ht="15.75" customHeight="1">
      <c r="A256" s="44">
        <v>46230.0</v>
      </c>
      <c r="B256" s="13" t="s">
        <v>50</v>
      </c>
      <c r="C256" s="13" t="s">
        <v>736</v>
      </c>
      <c r="D256" s="33">
        <v>99.0</v>
      </c>
      <c r="E256" s="13">
        <v>99.0</v>
      </c>
      <c r="F256" s="44">
        <v>46230.0</v>
      </c>
      <c r="G256" s="13" t="s">
        <v>14</v>
      </c>
      <c r="H256" s="76" t="s">
        <v>17</v>
      </c>
      <c r="I256" s="21"/>
    </row>
    <row r="257" ht="15.75" customHeight="1">
      <c r="A257" s="145">
        <v>46230.0</v>
      </c>
      <c r="B257" s="65" t="s">
        <v>179</v>
      </c>
      <c r="C257" s="65"/>
      <c r="D257" s="168">
        <v>26000.0</v>
      </c>
      <c r="E257" s="65">
        <v>26000.0</v>
      </c>
      <c r="F257" s="145">
        <v>46230.0</v>
      </c>
      <c r="G257" s="65" t="s">
        <v>55</v>
      </c>
      <c r="H257" s="65" t="s">
        <v>56</v>
      </c>
      <c r="I257" s="97"/>
    </row>
    <row r="258" ht="15.75" customHeight="1">
      <c r="A258" s="10">
        <v>46231.0</v>
      </c>
      <c r="B258" s="95" t="s">
        <v>38</v>
      </c>
      <c r="C258" s="95" t="s">
        <v>362</v>
      </c>
      <c r="D258" s="17">
        <v>1000.0</v>
      </c>
      <c r="E258" s="17">
        <v>1000.0</v>
      </c>
      <c r="F258" s="19">
        <v>46231.0</v>
      </c>
      <c r="G258" s="95" t="s">
        <v>14</v>
      </c>
      <c r="H258" s="23" t="s">
        <v>17</v>
      </c>
      <c r="I258" s="27"/>
    </row>
    <row r="259" ht="15.75" customHeight="1">
      <c r="A259" s="30">
        <v>46231.0</v>
      </c>
      <c r="B259" s="13" t="s">
        <v>101</v>
      </c>
      <c r="C259" s="81" t="s">
        <v>103</v>
      </c>
      <c r="D259" s="33">
        <v>500.0</v>
      </c>
      <c r="E259" s="13">
        <v>500.0</v>
      </c>
      <c r="F259" s="44">
        <v>46231.0</v>
      </c>
      <c r="G259" s="13" t="s">
        <v>14</v>
      </c>
      <c r="H259" s="76" t="s">
        <v>17</v>
      </c>
      <c r="I259" s="38"/>
    </row>
    <row r="260" ht="15.75" customHeight="1">
      <c r="A260" s="30">
        <v>46231.0</v>
      </c>
      <c r="B260" s="13" t="s">
        <v>50</v>
      </c>
      <c r="C260" s="13" t="s">
        <v>738</v>
      </c>
      <c r="D260" s="33">
        <v>520.0</v>
      </c>
      <c r="E260" s="33">
        <v>520.0</v>
      </c>
      <c r="F260" s="44">
        <v>46231.0</v>
      </c>
      <c r="G260" s="13" t="s">
        <v>14</v>
      </c>
      <c r="H260" s="76" t="s">
        <v>17</v>
      </c>
      <c r="I260" s="38"/>
    </row>
    <row r="261" ht="15.75" customHeight="1">
      <c r="A261" s="30">
        <v>46231.0</v>
      </c>
      <c r="B261" s="116" t="s">
        <v>10</v>
      </c>
      <c r="C261" s="117" t="s">
        <v>12</v>
      </c>
      <c r="D261" s="33">
        <v>70.0</v>
      </c>
      <c r="E261" s="33">
        <v>70.0</v>
      </c>
      <c r="F261" s="44">
        <v>46231.0</v>
      </c>
      <c r="G261" s="13" t="s">
        <v>14</v>
      </c>
      <c r="H261" s="76" t="s">
        <v>17</v>
      </c>
      <c r="I261" s="38"/>
    </row>
    <row r="262" ht="15.75" customHeight="1">
      <c r="A262" s="30">
        <v>46231.0</v>
      </c>
      <c r="B262" s="13" t="s">
        <v>25</v>
      </c>
      <c r="C262" s="13" t="s">
        <v>26</v>
      </c>
      <c r="D262" s="33">
        <v>140.0</v>
      </c>
      <c r="E262" s="33">
        <v>140.0</v>
      </c>
      <c r="F262" s="44">
        <v>46231.0</v>
      </c>
      <c r="G262" s="13" t="s">
        <v>14</v>
      </c>
      <c r="H262" s="76" t="s">
        <v>17</v>
      </c>
      <c r="I262" s="38"/>
    </row>
    <row r="263" ht="15.75" customHeight="1">
      <c r="A263" s="30">
        <v>46231.0</v>
      </c>
      <c r="B263" s="13" t="s">
        <v>50</v>
      </c>
      <c r="C263" s="13" t="s">
        <v>743</v>
      </c>
      <c r="D263" s="33">
        <v>720.0</v>
      </c>
      <c r="E263" s="13">
        <v>720.0</v>
      </c>
      <c r="F263" s="44">
        <v>46231.0</v>
      </c>
      <c r="G263" s="13" t="s">
        <v>14</v>
      </c>
      <c r="H263" s="76" t="s">
        <v>17</v>
      </c>
      <c r="I263" s="38"/>
    </row>
    <row r="264" ht="15.75" customHeight="1">
      <c r="A264" s="151">
        <v>46232.0</v>
      </c>
      <c r="B264" s="88" t="s">
        <v>248</v>
      </c>
      <c r="C264" s="88" t="s">
        <v>745</v>
      </c>
      <c r="D264" s="173">
        <v>660.0</v>
      </c>
      <c r="E264" s="88">
        <v>660.0</v>
      </c>
      <c r="F264" s="127">
        <v>46232.0</v>
      </c>
      <c r="G264" s="88" t="s">
        <v>14</v>
      </c>
      <c r="H264" s="101" t="s">
        <v>17</v>
      </c>
      <c r="I264" s="64"/>
    </row>
    <row r="265" ht="15.75" customHeight="1">
      <c r="A265" s="102">
        <v>46232.0</v>
      </c>
      <c r="B265" s="41" t="s">
        <v>38</v>
      </c>
      <c r="C265" s="41" t="s">
        <v>40</v>
      </c>
      <c r="D265" s="161">
        <v>1000.0</v>
      </c>
      <c r="E265" s="41">
        <v>1000.0</v>
      </c>
      <c r="F265" s="102">
        <v>46232.0</v>
      </c>
      <c r="G265" s="41" t="s">
        <v>14</v>
      </c>
      <c r="H265" s="106" t="s">
        <v>17</v>
      </c>
      <c r="I265" s="107"/>
    </row>
    <row r="266" ht="15.75" customHeight="1">
      <c r="A266" s="44">
        <v>46232.0</v>
      </c>
      <c r="B266" s="13" t="s">
        <v>101</v>
      </c>
      <c r="C266" s="81" t="s">
        <v>748</v>
      </c>
      <c r="D266" s="33">
        <v>1000.0</v>
      </c>
      <c r="E266" s="13">
        <v>1000.0</v>
      </c>
      <c r="F266" s="44">
        <v>46232.0</v>
      </c>
      <c r="G266" s="13" t="s">
        <v>14</v>
      </c>
      <c r="H266" s="76" t="s">
        <v>17</v>
      </c>
      <c r="I266" s="21"/>
    </row>
    <row r="267" ht="15.75" customHeight="1">
      <c r="A267" s="44">
        <v>46232.0</v>
      </c>
      <c r="B267" s="13" t="s">
        <v>50</v>
      </c>
      <c r="C267" s="13" t="s">
        <v>750</v>
      </c>
      <c r="D267" s="33">
        <v>50.0</v>
      </c>
      <c r="E267" s="13">
        <v>50.0</v>
      </c>
      <c r="F267" s="44">
        <v>46232.0</v>
      </c>
      <c r="G267" s="13" t="s">
        <v>14</v>
      </c>
      <c r="H267" s="76" t="s">
        <v>17</v>
      </c>
      <c r="I267" s="21"/>
    </row>
    <row r="268" ht="15.75" customHeight="1">
      <c r="A268" s="44">
        <v>46232.0</v>
      </c>
      <c r="B268" s="116" t="s">
        <v>10</v>
      </c>
      <c r="C268" s="117" t="s">
        <v>12</v>
      </c>
      <c r="D268" s="33">
        <v>70.0</v>
      </c>
      <c r="E268" s="13">
        <v>70.0</v>
      </c>
      <c r="F268" s="44">
        <v>46232.0</v>
      </c>
      <c r="G268" s="13" t="s">
        <v>14</v>
      </c>
      <c r="H268" s="76" t="s">
        <v>17</v>
      </c>
      <c r="I268" s="21"/>
    </row>
    <row r="269" ht="15.75" customHeight="1">
      <c r="A269" s="44">
        <v>46232.0</v>
      </c>
      <c r="B269" s="13" t="s">
        <v>25</v>
      </c>
      <c r="C269" s="13" t="s">
        <v>89</v>
      </c>
      <c r="D269" s="33">
        <v>105.0</v>
      </c>
      <c r="E269" s="13">
        <v>105.0</v>
      </c>
      <c r="F269" s="44">
        <v>46232.0</v>
      </c>
      <c r="G269" s="13" t="s">
        <v>14</v>
      </c>
      <c r="H269" s="76" t="s">
        <v>17</v>
      </c>
      <c r="I269" s="21"/>
    </row>
    <row r="270" ht="15.75" customHeight="1">
      <c r="A270" s="145">
        <v>46232.0</v>
      </c>
      <c r="B270" s="65" t="s">
        <v>118</v>
      </c>
      <c r="C270" s="65" t="s">
        <v>751</v>
      </c>
      <c r="D270" s="168">
        <v>3110.0</v>
      </c>
      <c r="E270" s="65">
        <v>3110.0</v>
      </c>
      <c r="F270" s="145">
        <v>46231.0</v>
      </c>
      <c r="G270" s="65" t="s">
        <v>55</v>
      </c>
      <c r="H270" s="65" t="s">
        <v>56</v>
      </c>
      <c r="I270" s="97"/>
    </row>
    <row r="271" ht="15.75" customHeight="1">
      <c r="A271" s="10">
        <v>46233.0</v>
      </c>
      <c r="B271" s="95" t="s">
        <v>753</v>
      </c>
      <c r="C271" s="95" t="s">
        <v>393</v>
      </c>
      <c r="D271" s="17">
        <v>4900.0</v>
      </c>
      <c r="E271" s="95">
        <v>4900.0</v>
      </c>
      <c r="F271" s="19">
        <v>46233.0</v>
      </c>
      <c r="G271" s="95" t="s">
        <v>14</v>
      </c>
      <c r="H271" s="23" t="s">
        <v>17</v>
      </c>
      <c r="I271" s="27"/>
    </row>
    <row r="272" ht="15.75" customHeight="1">
      <c r="A272" s="30">
        <v>46233.0</v>
      </c>
      <c r="B272" s="13" t="s">
        <v>38</v>
      </c>
      <c r="C272" s="13" t="s">
        <v>362</v>
      </c>
      <c r="D272" s="33">
        <v>500.0</v>
      </c>
      <c r="E272" s="13">
        <v>500.0</v>
      </c>
      <c r="F272" s="44">
        <v>46233.0</v>
      </c>
      <c r="G272" s="13" t="s">
        <v>14</v>
      </c>
      <c r="H272" s="76" t="s">
        <v>17</v>
      </c>
      <c r="I272" s="38"/>
    </row>
    <row r="273" ht="15.75" customHeight="1">
      <c r="A273" s="30">
        <v>46233.0</v>
      </c>
      <c r="B273" s="13" t="s">
        <v>101</v>
      </c>
      <c r="C273" s="81" t="s">
        <v>103</v>
      </c>
      <c r="D273" s="33">
        <v>1000.0</v>
      </c>
      <c r="E273" s="13">
        <v>1000.0</v>
      </c>
      <c r="F273" s="44">
        <v>46233.0</v>
      </c>
      <c r="G273" s="13" t="s">
        <v>14</v>
      </c>
      <c r="H273" s="76" t="s">
        <v>17</v>
      </c>
      <c r="I273" s="38"/>
    </row>
    <row r="274" ht="15.75" customHeight="1">
      <c r="A274" s="30">
        <v>46233.0</v>
      </c>
      <c r="B274" s="13" t="s">
        <v>50</v>
      </c>
      <c r="C274" s="13" t="s">
        <v>755</v>
      </c>
      <c r="D274" s="33">
        <v>525.0</v>
      </c>
      <c r="E274" s="13">
        <v>525.0</v>
      </c>
      <c r="F274" s="44">
        <v>46233.0</v>
      </c>
      <c r="G274" s="13" t="s">
        <v>14</v>
      </c>
      <c r="H274" s="76" t="s">
        <v>17</v>
      </c>
      <c r="I274" s="38"/>
      <c r="L274" s="7">
        <v>191.0</v>
      </c>
    </row>
    <row r="275" ht="15.75" customHeight="1">
      <c r="A275" s="30">
        <v>46233.0</v>
      </c>
      <c r="B275" s="116" t="s">
        <v>10</v>
      </c>
      <c r="C275" s="117" t="s">
        <v>12</v>
      </c>
      <c r="D275" s="33">
        <v>70.0</v>
      </c>
      <c r="E275" s="13">
        <v>70.0</v>
      </c>
      <c r="F275" s="44">
        <v>46233.0</v>
      </c>
      <c r="G275" s="13" t="s">
        <v>14</v>
      </c>
      <c r="H275" s="76" t="s">
        <v>17</v>
      </c>
      <c r="I275" s="38"/>
    </row>
    <row r="276" ht="15.75" customHeight="1">
      <c r="A276" s="30">
        <v>46233.0</v>
      </c>
      <c r="B276" s="13" t="s">
        <v>25</v>
      </c>
      <c r="C276" s="13" t="s">
        <v>333</v>
      </c>
      <c r="D276" s="33">
        <v>175.0</v>
      </c>
      <c r="E276" s="13">
        <v>175.0</v>
      </c>
      <c r="F276" s="44">
        <v>46233.0</v>
      </c>
      <c r="G276" s="13" t="s">
        <v>14</v>
      </c>
      <c r="H276" s="76" t="s">
        <v>17</v>
      </c>
      <c r="I276" s="38"/>
    </row>
    <row r="277" ht="15.75" customHeight="1">
      <c r="A277" s="30">
        <v>46233.0</v>
      </c>
      <c r="B277" s="13" t="s">
        <v>290</v>
      </c>
      <c r="C277" s="13" t="s">
        <v>761</v>
      </c>
      <c r="D277" s="33">
        <v>3508.0</v>
      </c>
      <c r="E277" s="13">
        <v>3508.0</v>
      </c>
      <c r="F277" s="44">
        <v>46234.0</v>
      </c>
      <c r="G277" s="13" t="s">
        <v>55</v>
      </c>
      <c r="H277" s="13" t="s">
        <v>37</v>
      </c>
      <c r="I277" s="38"/>
    </row>
    <row r="278" ht="15.75" customHeight="1">
      <c r="A278" s="30">
        <v>46233.0</v>
      </c>
      <c r="B278" s="13" t="s">
        <v>334</v>
      </c>
      <c r="C278" s="13" t="s">
        <v>763</v>
      </c>
      <c r="D278" s="33">
        <v>150.0</v>
      </c>
      <c r="E278" s="13">
        <v>150.0</v>
      </c>
      <c r="F278" s="44">
        <v>46233.0</v>
      </c>
      <c r="G278" s="13" t="s">
        <v>14</v>
      </c>
      <c r="H278" s="76" t="s">
        <v>17</v>
      </c>
      <c r="I278" s="38"/>
      <c r="L278" s="7">
        <v>140.0</v>
      </c>
    </row>
    <row r="279" ht="15.75" customHeight="1">
      <c r="A279" s="30">
        <v>46233.0</v>
      </c>
      <c r="B279" s="13" t="s">
        <v>43</v>
      </c>
      <c r="C279" s="13" t="s">
        <v>766</v>
      </c>
      <c r="D279" s="33">
        <v>67500.0</v>
      </c>
      <c r="E279" s="13">
        <v>67500.0</v>
      </c>
      <c r="F279" s="44">
        <v>46233.0</v>
      </c>
      <c r="G279" s="13" t="s">
        <v>14</v>
      </c>
      <c r="H279" s="76" t="s">
        <v>17</v>
      </c>
      <c r="I279" s="38"/>
    </row>
    <row r="280" ht="15.75" customHeight="1">
      <c r="A280" s="151">
        <v>46233.0</v>
      </c>
      <c r="B280" s="88" t="s">
        <v>288</v>
      </c>
      <c r="C280" s="88" t="s">
        <v>769</v>
      </c>
      <c r="D280" s="88">
        <v>6000.0</v>
      </c>
      <c r="E280" s="88">
        <v>6000.0</v>
      </c>
      <c r="F280" s="127">
        <v>46233.0</v>
      </c>
      <c r="G280" s="88" t="s">
        <v>14</v>
      </c>
      <c r="H280" s="101" t="s">
        <v>17</v>
      </c>
      <c r="I280" s="64"/>
      <c r="L280" s="7">
        <v>358.0</v>
      </c>
    </row>
    <row r="281" ht="15.75" customHeight="1">
      <c r="A281" s="102">
        <v>46234.0</v>
      </c>
      <c r="B281" s="41" t="s">
        <v>38</v>
      </c>
      <c r="C281" s="41" t="s">
        <v>40</v>
      </c>
      <c r="D281" s="161">
        <v>1000.0</v>
      </c>
      <c r="E281" s="41">
        <v>1000.0</v>
      </c>
      <c r="F281" s="102">
        <v>46234.0</v>
      </c>
      <c r="G281" s="41" t="s">
        <v>14</v>
      </c>
      <c r="H281" s="106" t="s">
        <v>17</v>
      </c>
      <c r="I281" s="107"/>
      <c r="L281" s="7"/>
    </row>
    <row r="282" ht="15.75" customHeight="1">
      <c r="A282" s="44">
        <v>46234.0</v>
      </c>
      <c r="B282" s="13" t="s">
        <v>38</v>
      </c>
      <c r="C282" s="13" t="s">
        <v>40</v>
      </c>
      <c r="D282" s="33">
        <v>1000.0</v>
      </c>
      <c r="E282" s="13">
        <v>1000.0</v>
      </c>
      <c r="F282" s="44">
        <v>46234.0</v>
      </c>
      <c r="G282" s="13" t="s">
        <v>14</v>
      </c>
      <c r="H282" s="76" t="s">
        <v>17</v>
      </c>
      <c r="I282" s="21"/>
      <c r="L282" s="39">
        <f>SUM(L274:L279)</f>
        <v>331</v>
      </c>
    </row>
    <row r="283" ht="15.75" customHeight="1">
      <c r="A283" s="44">
        <v>46234.0</v>
      </c>
      <c r="B283" s="13" t="s">
        <v>38</v>
      </c>
      <c r="C283" s="13" t="s">
        <v>362</v>
      </c>
      <c r="D283" s="33">
        <v>1000.0</v>
      </c>
      <c r="E283" s="13">
        <v>1000.0</v>
      </c>
      <c r="F283" s="44">
        <v>46234.0</v>
      </c>
      <c r="G283" s="13" t="s">
        <v>14</v>
      </c>
      <c r="H283" s="76" t="s">
        <v>17</v>
      </c>
      <c r="I283" s="21"/>
      <c r="L283" s="7">
        <v>100.0</v>
      </c>
    </row>
    <row r="284" ht="15.75" customHeight="1">
      <c r="A284" s="44">
        <v>46234.0</v>
      </c>
      <c r="B284" s="116" t="s">
        <v>10</v>
      </c>
      <c r="C284" s="117" t="s">
        <v>12</v>
      </c>
      <c r="D284" s="33">
        <v>70.0</v>
      </c>
      <c r="E284" s="13">
        <v>70.0</v>
      </c>
      <c r="F284" s="44">
        <v>46234.0</v>
      </c>
      <c r="G284" s="13" t="s">
        <v>14</v>
      </c>
      <c r="H284" s="76" t="s">
        <v>17</v>
      </c>
      <c r="I284" s="21"/>
      <c r="L284" s="7">
        <v>158.0</v>
      </c>
    </row>
    <row r="285" ht="15.75" customHeight="1">
      <c r="A285" s="44">
        <v>46234.0</v>
      </c>
      <c r="B285" s="13" t="s">
        <v>25</v>
      </c>
      <c r="C285" s="13" t="s">
        <v>26</v>
      </c>
      <c r="D285" s="33">
        <v>140.0</v>
      </c>
      <c r="E285" s="13">
        <v>140.0</v>
      </c>
      <c r="F285" s="44">
        <v>46234.0</v>
      </c>
      <c r="G285" s="13" t="s">
        <v>14</v>
      </c>
      <c r="H285" s="76" t="s">
        <v>17</v>
      </c>
      <c r="I285" s="21"/>
      <c r="L285" s="7">
        <v>598.0</v>
      </c>
    </row>
    <row r="286" ht="15.75" customHeight="1">
      <c r="A286" s="127">
        <v>46234.0</v>
      </c>
      <c r="B286" s="88" t="s">
        <v>106</v>
      </c>
      <c r="C286" s="88" t="s">
        <v>722</v>
      </c>
      <c r="D286" s="173">
        <v>10598.5</v>
      </c>
      <c r="E286" s="88">
        <v>10598.0</v>
      </c>
      <c r="F286" s="127">
        <v>46235.0</v>
      </c>
      <c r="G286" s="88" t="s">
        <v>55</v>
      </c>
      <c r="H286" s="88" t="s">
        <v>56</v>
      </c>
      <c r="I286" s="57"/>
      <c r="L286" s="7"/>
    </row>
    <row r="287" ht="15.75" customHeight="1">
      <c r="A287" s="107"/>
      <c r="B287" s="107"/>
      <c r="C287" s="107"/>
      <c r="D287" s="266"/>
      <c r="E287" s="107"/>
      <c r="F287" s="107"/>
      <c r="G287" s="107"/>
      <c r="H287" s="107"/>
      <c r="I287" s="107"/>
    </row>
    <row r="288" ht="15.75" customHeight="1">
      <c r="A288" s="21"/>
      <c r="B288" s="21"/>
      <c r="C288" s="21"/>
      <c r="D288" s="113"/>
      <c r="E288" s="21"/>
      <c r="F288" s="21"/>
      <c r="G288" s="21"/>
      <c r="H288" s="21"/>
      <c r="I288" s="21"/>
    </row>
    <row r="289" ht="15.75" customHeight="1">
      <c r="A289" s="21"/>
      <c r="B289" s="21"/>
      <c r="C289" s="21"/>
      <c r="D289" s="113"/>
      <c r="E289" s="21"/>
      <c r="F289" s="21"/>
      <c r="G289" s="21"/>
      <c r="H289" s="21"/>
      <c r="I289" s="21"/>
    </row>
    <row r="290" ht="15.75" customHeight="1">
      <c r="A290" s="44"/>
      <c r="B290" s="21"/>
      <c r="C290" s="13"/>
      <c r="D290" s="267"/>
      <c r="E290" s="13"/>
      <c r="F290" s="44"/>
      <c r="G290" s="13"/>
      <c r="H290" s="13"/>
      <c r="I290" s="21"/>
    </row>
    <row r="291" ht="15.75" customHeight="1">
      <c r="A291" s="21"/>
      <c r="B291" s="21"/>
      <c r="C291" s="21"/>
      <c r="D291" s="49"/>
      <c r="E291" s="21"/>
      <c r="F291" s="21"/>
      <c r="G291" s="21"/>
      <c r="H291" s="21"/>
      <c r="I291" s="21"/>
    </row>
    <row r="292" ht="15.75" customHeight="1">
      <c r="A292" s="21"/>
      <c r="B292" s="21"/>
      <c r="C292" s="21"/>
      <c r="D292" s="113"/>
      <c r="E292" s="21"/>
      <c r="F292" s="21"/>
      <c r="G292" s="21"/>
      <c r="H292" s="21"/>
      <c r="I292" s="21"/>
      <c r="N292" s="125">
        <v>1000.0</v>
      </c>
      <c r="O292" s="125">
        <v>31.0</v>
      </c>
      <c r="P292" s="74">
        <f>N292*O292</f>
        <v>31000</v>
      </c>
      <c r="Q292" s="74"/>
    </row>
    <row r="293" ht="15.75" customHeight="1">
      <c r="A293" s="21"/>
      <c r="B293" s="21"/>
      <c r="C293" s="21"/>
      <c r="D293" s="113"/>
      <c r="E293" s="21"/>
      <c r="F293" s="21"/>
      <c r="G293" s="21"/>
      <c r="H293" s="21"/>
      <c r="I293" s="21"/>
    </row>
    <row r="294" ht="15.75" customHeight="1">
      <c r="A294" s="21"/>
      <c r="B294" s="21"/>
      <c r="C294" s="21"/>
      <c r="D294" s="113"/>
      <c r="E294" s="21"/>
      <c r="F294" s="21"/>
      <c r="G294" s="21"/>
      <c r="H294" s="21"/>
      <c r="I294" s="21"/>
    </row>
    <row r="295" ht="15.75" customHeight="1">
      <c r="A295" s="21"/>
      <c r="B295" s="21"/>
      <c r="C295" s="21"/>
      <c r="D295" s="113"/>
      <c r="E295" s="21"/>
      <c r="F295" s="21"/>
      <c r="G295" s="21"/>
      <c r="H295" s="21"/>
      <c r="I295" s="21"/>
    </row>
    <row r="296" ht="15.75" customHeight="1">
      <c r="A296" s="21"/>
      <c r="B296" s="21"/>
      <c r="C296" s="21"/>
      <c r="D296" s="113"/>
      <c r="E296" s="21"/>
      <c r="F296" s="21"/>
      <c r="G296" s="21"/>
      <c r="H296" s="21"/>
      <c r="I296" s="21"/>
    </row>
    <row r="304" ht="15.75" customHeight="1">
      <c r="D304" s="272"/>
    </row>
    <row r="305" ht="15.75" customHeight="1">
      <c r="D305" s="272"/>
    </row>
    <row r="306" ht="15.75" customHeight="1">
      <c r="D306" s="272"/>
    </row>
    <row r="307" ht="15.75" customHeight="1">
      <c r="D307" s="272"/>
    </row>
    <row r="308" ht="15.75" customHeight="1">
      <c r="D308" s="272"/>
    </row>
    <row r="309" ht="15.75" customHeight="1">
      <c r="D309" s="272"/>
    </row>
    <row r="310" ht="15.75" customHeight="1">
      <c r="D310" s="272"/>
    </row>
    <row r="311" ht="15.75" customHeight="1">
      <c r="D311" s="272"/>
    </row>
    <row r="312" ht="15.75" customHeight="1">
      <c r="D312" s="272"/>
    </row>
    <row r="313" ht="15.75" customHeight="1">
      <c r="D313" s="272"/>
    </row>
    <row r="314" ht="15.75" customHeight="1">
      <c r="D314" s="272"/>
    </row>
    <row r="315" ht="15.75" customHeight="1">
      <c r="D315" s="272"/>
    </row>
    <row r="316" ht="15.75" customHeight="1">
      <c r="D316" s="272"/>
    </row>
    <row r="317" ht="15.75" customHeight="1">
      <c r="D317" s="272"/>
    </row>
    <row r="318" ht="15.75" customHeight="1">
      <c r="D318" s="272"/>
    </row>
    <row r="319" ht="15.75" customHeight="1">
      <c r="D319" s="272"/>
    </row>
    <row r="320" ht="15.75" customHeight="1">
      <c r="D320" s="272"/>
    </row>
    <row r="321" ht="15.75" customHeight="1">
      <c r="D321" s="272"/>
    </row>
    <row r="322" ht="15.75" customHeight="1">
      <c r="D322" s="272"/>
    </row>
    <row r="323" ht="15.75" customHeight="1">
      <c r="D323" s="272"/>
    </row>
    <row r="324" ht="15.75" customHeight="1">
      <c r="D324" s="272"/>
    </row>
    <row r="325" ht="15.75" customHeight="1">
      <c r="D325" s="272"/>
    </row>
    <row r="326" ht="15.75" customHeight="1">
      <c r="D326" s="272"/>
    </row>
    <row r="327" ht="15.75" customHeight="1">
      <c r="D327" s="272"/>
      <c r="F327" s="7" t="s">
        <v>797</v>
      </c>
      <c r="Z327" s="7" t="s">
        <v>798</v>
      </c>
    </row>
    <row r="328" ht="15.75" customHeight="1">
      <c r="D328" s="272"/>
    </row>
    <row r="329" ht="15.75" customHeight="1">
      <c r="D329" s="272"/>
    </row>
    <row r="330" ht="15.75" customHeight="1">
      <c r="D330" s="272"/>
    </row>
    <row r="331" ht="15.75" customHeight="1">
      <c r="D331" s="272"/>
    </row>
    <row r="332" ht="15.75" customHeight="1">
      <c r="D332" s="272"/>
    </row>
    <row r="333" ht="15.75" customHeight="1">
      <c r="D333" s="272"/>
    </row>
    <row r="334" ht="15.75" customHeight="1">
      <c r="D334" s="272"/>
    </row>
    <row r="335" ht="15.75" customHeight="1">
      <c r="D335" s="272"/>
    </row>
    <row r="336" ht="15.75" customHeight="1">
      <c r="D336" s="272"/>
    </row>
    <row r="337" ht="15.75" customHeight="1">
      <c r="D337" s="272"/>
    </row>
    <row r="338" ht="15.75" customHeight="1">
      <c r="D338" s="272"/>
    </row>
    <row r="339" ht="15.75" customHeight="1">
      <c r="D339" s="272"/>
    </row>
    <row r="340" ht="15.75" customHeight="1">
      <c r="D340" s="272"/>
    </row>
    <row r="341" ht="15.75" customHeight="1">
      <c r="D341" s="272"/>
    </row>
    <row r="342" ht="15.75" customHeight="1">
      <c r="D342" s="272"/>
    </row>
    <row r="343" ht="15.75" customHeight="1">
      <c r="D343" s="272"/>
    </row>
    <row r="344" ht="15.75" customHeight="1">
      <c r="D344" s="272"/>
    </row>
    <row r="345" ht="15.75" customHeight="1">
      <c r="D345" s="272"/>
    </row>
    <row r="346" ht="15.75" customHeight="1">
      <c r="D346" s="272"/>
    </row>
    <row r="347" ht="15.75" customHeight="1">
      <c r="D347" s="272"/>
    </row>
    <row r="348" ht="15.75" customHeight="1">
      <c r="D348" s="272"/>
    </row>
    <row r="349" ht="15.75" customHeight="1">
      <c r="D349" s="272"/>
    </row>
    <row r="350" ht="15.75" customHeight="1">
      <c r="D350" s="272"/>
    </row>
    <row r="351" ht="15.75" customHeight="1">
      <c r="D351" s="272"/>
    </row>
    <row r="352" ht="15.75" customHeight="1">
      <c r="D352" s="272"/>
    </row>
    <row r="353" ht="15.75" customHeight="1">
      <c r="D353" s="272"/>
    </row>
    <row r="354" ht="15.75" customHeight="1">
      <c r="D354" s="272"/>
    </row>
    <row r="355" ht="15.75" customHeight="1">
      <c r="D355" s="272"/>
    </row>
    <row r="356" ht="15.75" customHeight="1">
      <c r="D356" s="272"/>
    </row>
    <row r="357" ht="15.75" customHeight="1">
      <c r="D357" s="272"/>
    </row>
    <row r="358" ht="15.75" customHeight="1">
      <c r="D358" s="272"/>
    </row>
    <row r="359" ht="15.75" customHeight="1">
      <c r="D359" s="272"/>
    </row>
    <row r="360" ht="15.75" customHeight="1">
      <c r="D360" s="272"/>
    </row>
    <row r="361" ht="15.75" customHeight="1">
      <c r="D361" s="272"/>
    </row>
    <row r="362" ht="15.75" customHeight="1">
      <c r="D362" s="272"/>
    </row>
    <row r="363" ht="15.75" customHeight="1">
      <c r="D363" s="272"/>
    </row>
    <row r="364" ht="15.75" customHeight="1">
      <c r="D364" s="272"/>
    </row>
    <row r="365" ht="15.75" customHeight="1">
      <c r="D365" s="272"/>
    </row>
    <row r="366" ht="15.75" customHeight="1">
      <c r="D366" s="272"/>
    </row>
    <row r="367" ht="15.75" customHeight="1">
      <c r="D367" s="272"/>
    </row>
    <row r="368" ht="15.75" customHeight="1">
      <c r="D368" s="272"/>
    </row>
    <row r="369" ht="15.75" customHeight="1">
      <c r="D369" s="272"/>
    </row>
    <row r="370" ht="15.75" customHeight="1">
      <c r="D370" s="272"/>
    </row>
    <row r="371" ht="15.75" customHeight="1">
      <c r="D371" s="272"/>
    </row>
    <row r="372" ht="15.75" customHeight="1">
      <c r="D372" s="272"/>
    </row>
    <row r="373" ht="15.75" customHeight="1">
      <c r="D373" s="272"/>
    </row>
    <row r="374" ht="15.75" customHeight="1">
      <c r="D374" s="272"/>
    </row>
    <row r="375" ht="15.75" customHeight="1">
      <c r="D375" s="272"/>
    </row>
    <row r="376" ht="15.75" customHeight="1">
      <c r="D376" s="272"/>
    </row>
    <row r="377" ht="15.75" customHeight="1">
      <c r="D377" s="272"/>
    </row>
    <row r="378" ht="15.75" customHeight="1">
      <c r="D378" s="272"/>
    </row>
    <row r="379" ht="15.75" customHeight="1">
      <c r="D379" s="272"/>
    </row>
    <row r="380" ht="15.75" customHeight="1">
      <c r="D380" s="272"/>
    </row>
    <row r="381" ht="15.75" customHeight="1">
      <c r="D381" s="272"/>
    </row>
    <row r="382" ht="15.75" customHeight="1">
      <c r="D382" s="272"/>
    </row>
    <row r="383" ht="15.75" customHeight="1">
      <c r="D383" s="272"/>
    </row>
    <row r="384" ht="15.75" customHeight="1">
      <c r="D384" s="272"/>
    </row>
    <row r="385" ht="15.75" customHeight="1">
      <c r="D385" s="272"/>
    </row>
    <row r="386" ht="15.75" customHeight="1">
      <c r="D386" s="272"/>
    </row>
    <row r="387" ht="15.75" customHeight="1">
      <c r="D387" s="272"/>
    </row>
    <row r="388" ht="15.75" customHeight="1">
      <c r="D388" s="272"/>
    </row>
    <row r="389" ht="15.75" customHeight="1">
      <c r="D389" s="272"/>
    </row>
    <row r="390" ht="15.75" customHeight="1">
      <c r="D390" s="272"/>
    </row>
    <row r="391" ht="15.75" customHeight="1">
      <c r="D391" s="272"/>
    </row>
    <row r="392" ht="15.75" customHeight="1">
      <c r="D392" s="272"/>
    </row>
    <row r="393" ht="15.75" customHeight="1">
      <c r="D393" s="272"/>
    </row>
    <row r="394" ht="15.75" customHeight="1">
      <c r="D394" s="272"/>
    </row>
    <row r="395" ht="15.75" customHeight="1">
      <c r="D395" s="272"/>
    </row>
    <row r="396" ht="15.75" customHeight="1">
      <c r="D396" s="272"/>
    </row>
    <row r="397" ht="15.75" customHeight="1">
      <c r="D397" s="272"/>
    </row>
    <row r="398" ht="15.75" customHeight="1">
      <c r="D398" s="272"/>
    </row>
    <row r="399" ht="15.75" customHeight="1">
      <c r="D399" s="272"/>
    </row>
    <row r="400" ht="15.75" customHeight="1">
      <c r="D400" s="272"/>
    </row>
    <row r="401" ht="15.75" customHeight="1">
      <c r="D401" s="272"/>
    </row>
    <row r="402" ht="15.75" customHeight="1">
      <c r="D402" s="272"/>
    </row>
    <row r="403" ht="15.75" customHeight="1">
      <c r="D403" s="272"/>
    </row>
    <row r="404" ht="15.75" customHeight="1">
      <c r="D404" s="272"/>
    </row>
    <row r="405" ht="15.75" customHeight="1">
      <c r="D405" s="272"/>
    </row>
    <row r="406" ht="15.75" customHeight="1">
      <c r="D406" s="272"/>
    </row>
    <row r="407" ht="15.75" customHeight="1">
      <c r="D407" s="272"/>
    </row>
    <row r="408" ht="15.75" customHeight="1">
      <c r="D408" s="272"/>
    </row>
    <row r="409" ht="15.75" customHeight="1">
      <c r="D409" s="272"/>
    </row>
    <row r="410" ht="15.75" customHeight="1">
      <c r="D410" s="272"/>
    </row>
    <row r="411" ht="15.75" customHeight="1">
      <c r="D411" s="272"/>
    </row>
    <row r="412" ht="15.75" customHeight="1">
      <c r="D412" s="272"/>
    </row>
    <row r="413" ht="15.75" customHeight="1">
      <c r="D413" s="272"/>
    </row>
    <row r="414" ht="15.75" customHeight="1">
      <c r="D414" s="272"/>
    </row>
    <row r="415" ht="15.75" customHeight="1">
      <c r="D415" s="272"/>
    </row>
    <row r="416" ht="15.75" customHeight="1">
      <c r="D416" s="272"/>
    </row>
    <row r="417" ht="15.75" customHeight="1">
      <c r="D417" s="272"/>
    </row>
    <row r="418" ht="15.75" customHeight="1">
      <c r="D418" s="272"/>
    </row>
    <row r="419" ht="15.75" customHeight="1">
      <c r="D419" s="272"/>
    </row>
    <row r="420" ht="15.75" customHeight="1">
      <c r="D420" s="272"/>
    </row>
    <row r="421" ht="15.75" customHeight="1">
      <c r="D421" s="272"/>
    </row>
    <row r="422" ht="15.75" customHeight="1">
      <c r="D422" s="272"/>
    </row>
    <row r="423" ht="15.75" customHeight="1">
      <c r="D423" s="272"/>
    </row>
    <row r="424" ht="15.75" customHeight="1">
      <c r="D424" s="272"/>
    </row>
    <row r="425" ht="15.75" customHeight="1">
      <c r="D425" s="272"/>
    </row>
    <row r="426" ht="15.75" customHeight="1">
      <c r="D426" s="272"/>
    </row>
    <row r="427" ht="15.75" customHeight="1">
      <c r="D427" s="272"/>
    </row>
    <row r="428" ht="15.75" customHeight="1">
      <c r="D428" s="272"/>
    </row>
    <row r="429" ht="15.75" customHeight="1">
      <c r="D429" s="272"/>
    </row>
    <row r="430" ht="15.75" customHeight="1">
      <c r="D430" s="272"/>
    </row>
    <row r="431" ht="15.75" customHeight="1">
      <c r="D431" s="272"/>
    </row>
    <row r="432" ht="15.75" customHeight="1">
      <c r="D432" s="272"/>
    </row>
    <row r="433" ht="15.75" customHeight="1">
      <c r="D433" s="272"/>
    </row>
    <row r="434" ht="15.75" customHeight="1">
      <c r="D434" s="272"/>
    </row>
    <row r="435" ht="15.75" customHeight="1">
      <c r="D435" s="272"/>
    </row>
    <row r="436" ht="15.75" customHeight="1">
      <c r="D436" s="272"/>
    </row>
    <row r="437" ht="15.75" customHeight="1">
      <c r="D437" s="272"/>
    </row>
    <row r="438" ht="15.75" customHeight="1">
      <c r="D438" s="272"/>
    </row>
    <row r="439" ht="15.75" customHeight="1">
      <c r="D439" s="272"/>
    </row>
    <row r="440" ht="15.75" customHeight="1">
      <c r="D440" s="272"/>
    </row>
    <row r="441" ht="15.75" customHeight="1">
      <c r="D441" s="272"/>
    </row>
    <row r="442" ht="15.75" customHeight="1">
      <c r="D442" s="272"/>
    </row>
    <row r="443" ht="15.75" customHeight="1">
      <c r="D443" s="272"/>
    </row>
    <row r="444" ht="15.75" customHeight="1">
      <c r="D444" s="272"/>
    </row>
    <row r="445" ht="15.75" customHeight="1">
      <c r="D445" s="272"/>
    </row>
    <row r="446" ht="15.75" customHeight="1">
      <c r="D446" s="272"/>
    </row>
    <row r="447" ht="15.75" customHeight="1">
      <c r="D447" s="272"/>
    </row>
    <row r="448" ht="15.75" customHeight="1">
      <c r="D448" s="272"/>
    </row>
    <row r="449" ht="15.75" customHeight="1">
      <c r="D449" s="272"/>
    </row>
    <row r="450" ht="15.75" customHeight="1">
      <c r="D450" s="272"/>
    </row>
    <row r="451" ht="15.75" customHeight="1">
      <c r="D451" s="272"/>
    </row>
    <row r="452" ht="15.75" customHeight="1">
      <c r="D452" s="272"/>
    </row>
    <row r="453" ht="15.75" customHeight="1">
      <c r="D453" s="272"/>
    </row>
    <row r="454" ht="15.75" customHeight="1">
      <c r="D454" s="272"/>
    </row>
    <row r="455" ht="15.75" customHeight="1">
      <c r="D455" s="272"/>
    </row>
    <row r="456" ht="15.75" customHeight="1">
      <c r="D456" s="272"/>
    </row>
    <row r="457" ht="15.75" customHeight="1">
      <c r="D457" s="272"/>
    </row>
    <row r="458" ht="15.75" customHeight="1">
      <c r="D458" s="272"/>
    </row>
    <row r="459" ht="15.75" customHeight="1">
      <c r="D459" s="272"/>
    </row>
    <row r="460" ht="15.75" customHeight="1">
      <c r="D460" s="272"/>
    </row>
    <row r="461" ht="15.75" customHeight="1">
      <c r="D461" s="272"/>
    </row>
    <row r="462" ht="15.75" customHeight="1">
      <c r="D462" s="272"/>
    </row>
    <row r="463" ht="15.75" customHeight="1">
      <c r="D463" s="272"/>
    </row>
    <row r="464" ht="15.75" customHeight="1">
      <c r="D464" s="272"/>
    </row>
    <row r="465" ht="15.75" customHeight="1">
      <c r="D465" s="272"/>
    </row>
    <row r="466" ht="15.75" customHeight="1">
      <c r="D466" s="272"/>
    </row>
    <row r="467" ht="15.75" customHeight="1">
      <c r="D467" s="272"/>
    </row>
    <row r="468" ht="15.75" customHeight="1">
      <c r="D468" s="272"/>
    </row>
    <row r="469" ht="15.75" customHeight="1">
      <c r="D469" s="272"/>
    </row>
    <row r="470" ht="15.75" customHeight="1">
      <c r="D470" s="272"/>
    </row>
    <row r="471" ht="15.75" customHeight="1">
      <c r="D471" s="272"/>
    </row>
    <row r="472" ht="15.75" customHeight="1">
      <c r="D472" s="272"/>
    </row>
    <row r="473" ht="15.75" customHeight="1">
      <c r="D473" s="272"/>
    </row>
    <row r="474" ht="15.75" customHeight="1">
      <c r="D474" s="272"/>
    </row>
    <row r="475" ht="15.75" customHeight="1">
      <c r="D475" s="272"/>
    </row>
    <row r="476" ht="15.75" customHeight="1">
      <c r="D476" s="272"/>
    </row>
    <row r="477" ht="15.75" customHeight="1">
      <c r="D477" s="272"/>
    </row>
    <row r="478" ht="15.75" customHeight="1">
      <c r="D478" s="272"/>
    </row>
    <row r="479" ht="15.75" customHeight="1">
      <c r="D479" s="272"/>
    </row>
    <row r="480" ht="15.75" customHeight="1">
      <c r="D480" s="272"/>
    </row>
    <row r="481" ht="15.75" customHeight="1">
      <c r="D481" s="272"/>
    </row>
    <row r="482" ht="15.75" customHeight="1">
      <c r="D482" s="272"/>
    </row>
    <row r="483" ht="15.75" customHeight="1">
      <c r="D483" s="272"/>
    </row>
    <row r="484" ht="15.75" customHeight="1">
      <c r="D484" s="272"/>
    </row>
    <row r="485" ht="15.75" customHeight="1">
      <c r="D485" s="272"/>
    </row>
    <row r="486" ht="15.75" customHeight="1">
      <c r="D486" s="272"/>
    </row>
    <row r="487" ht="15.75" customHeight="1">
      <c r="D487" s="272"/>
    </row>
    <row r="488" ht="15.75" customHeight="1">
      <c r="D488" s="272"/>
    </row>
    <row r="489" ht="15.75" customHeight="1">
      <c r="D489" s="272"/>
    </row>
    <row r="490" ht="15.75" customHeight="1">
      <c r="D490" s="272"/>
    </row>
    <row r="491" ht="15.75" customHeight="1">
      <c r="D491" s="272"/>
    </row>
    <row r="492" ht="15.75" customHeight="1">
      <c r="D492" s="272"/>
    </row>
    <row r="493" ht="15.75" customHeight="1">
      <c r="D493" s="272"/>
    </row>
    <row r="494" ht="15.75" customHeight="1">
      <c r="D494" s="272"/>
    </row>
    <row r="495" ht="15.75" customHeight="1">
      <c r="D495" s="272"/>
    </row>
    <row r="496" ht="15.75" customHeight="1">
      <c r="D496" s="272"/>
    </row>
    <row r="497" ht="15.75" customHeight="1">
      <c r="D497" s="272"/>
    </row>
    <row r="498" ht="15.75" customHeight="1">
      <c r="D498" s="272"/>
    </row>
    <row r="499" ht="15.75" customHeight="1">
      <c r="D499" s="272"/>
    </row>
    <row r="500" ht="15.75" customHeight="1">
      <c r="D500" s="272"/>
    </row>
    <row r="501" ht="15.75" customHeight="1">
      <c r="D501" s="272"/>
    </row>
    <row r="502" ht="15.75" customHeight="1">
      <c r="D502" s="272"/>
    </row>
    <row r="503" ht="15.75" customHeight="1">
      <c r="D503" s="272"/>
    </row>
    <row r="504" ht="15.75" customHeight="1">
      <c r="D504" s="272"/>
    </row>
    <row r="505" ht="15.75" customHeight="1">
      <c r="D505" s="272"/>
    </row>
    <row r="506" ht="15.75" customHeight="1">
      <c r="D506" s="272"/>
    </row>
    <row r="507" ht="15.75" customHeight="1">
      <c r="D507" s="272"/>
    </row>
    <row r="508" ht="15.75" customHeight="1">
      <c r="D508" s="272"/>
    </row>
    <row r="509" ht="15.75" customHeight="1">
      <c r="D509" s="272"/>
    </row>
    <row r="510" ht="15.75" customHeight="1">
      <c r="D510" s="272"/>
    </row>
    <row r="511" ht="15.75" customHeight="1">
      <c r="D511" s="272"/>
    </row>
    <row r="512" ht="15.75" customHeight="1">
      <c r="D512" s="272"/>
    </row>
    <row r="513" ht="15.75" customHeight="1">
      <c r="D513" s="272"/>
    </row>
    <row r="514" ht="15.75" customHeight="1">
      <c r="D514" s="272"/>
    </row>
    <row r="515" ht="15.75" customHeight="1">
      <c r="D515" s="272"/>
    </row>
    <row r="516" ht="15.75" customHeight="1">
      <c r="D516" s="272"/>
    </row>
    <row r="517" ht="15.75" customHeight="1">
      <c r="D517" s="272"/>
    </row>
    <row r="518" ht="15.75" customHeight="1">
      <c r="D518" s="272"/>
    </row>
    <row r="519" ht="15.75" customHeight="1">
      <c r="D519" s="272"/>
    </row>
    <row r="520" ht="15.75" customHeight="1">
      <c r="D520" s="272"/>
    </row>
    <row r="521" ht="15.75" customHeight="1">
      <c r="D521" s="272"/>
    </row>
    <row r="522" ht="15.75" customHeight="1">
      <c r="D522" s="272"/>
    </row>
    <row r="523" ht="15.75" customHeight="1">
      <c r="D523" s="272"/>
    </row>
    <row r="524" ht="15.75" customHeight="1">
      <c r="D524" s="272"/>
    </row>
    <row r="525" ht="15.75" customHeight="1">
      <c r="D525" s="272"/>
    </row>
    <row r="526" ht="15.75" customHeight="1">
      <c r="D526" s="272"/>
    </row>
    <row r="527" ht="15.75" customHeight="1">
      <c r="D527" s="272"/>
    </row>
    <row r="528" ht="15.75" customHeight="1">
      <c r="D528" s="272"/>
    </row>
    <row r="529" ht="15.75" customHeight="1">
      <c r="D529" s="272"/>
    </row>
    <row r="530" ht="15.75" customHeight="1">
      <c r="D530" s="272"/>
    </row>
    <row r="531" ht="15.75" customHeight="1">
      <c r="D531" s="272"/>
    </row>
    <row r="532" ht="15.75" customHeight="1">
      <c r="D532" s="272"/>
    </row>
    <row r="533" ht="15.75" customHeight="1">
      <c r="D533" s="272"/>
    </row>
    <row r="534" ht="15.75" customHeight="1">
      <c r="D534" s="272"/>
    </row>
    <row r="535" ht="15.75" customHeight="1">
      <c r="D535" s="272"/>
    </row>
    <row r="536" ht="15.75" customHeight="1">
      <c r="D536" s="272"/>
    </row>
    <row r="537" ht="15.75" customHeight="1">
      <c r="D537" s="272"/>
    </row>
    <row r="538" ht="15.75" customHeight="1">
      <c r="D538" s="272"/>
    </row>
    <row r="539" ht="15.75" customHeight="1">
      <c r="D539" s="272"/>
    </row>
    <row r="540" ht="15.75" customHeight="1">
      <c r="D540" s="272"/>
    </row>
    <row r="541" ht="15.75" customHeight="1">
      <c r="D541" s="272"/>
    </row>
    <row r="542" ht="15.75" customHeight="1">
      <c r="D542" s="272"/>
    </row>
    <row r="543" ht="15.75" customHeight="1">
      <c r="D543" s="272"/>
    </row>
    <row r="544" ht="15.75" customHeight="1">
      <c r="D544" s="272"/>
    </row>
    <row r="545" ht="15.75" customHeight="1">
      <c r="D545" s="272"/>
    </row>
    <row r="546" ht="15.75" customHeight="1">
      <c r="D546" s="272"/>
    </row>
    <row r="547" ht="15.75" customHeight="1">
      <c r="D547" s="272"/>
    </row>
    <row r="548" ht="15.75" customHeight="1">
      <c r="D548" s="272"/>
    </row>
    <row r="549" ht="15.75" customHeight="1">
      <c r="D549" s="272"/>
    </row>
    <row r="550" ht="15.75" customHeight="1">
      <c r="D550" s="272"/>
    </row>
    <row r="551" ht="15.75" customHeight="1">
      <c r="D551" s="272"/>
    </row>
    <row r="552" ht="15.75" customHeight="1">
      <c r="D552" s="272"/>
    </row>
    <row r="553" ht="15.75" customHeight="1">
      <c r="D553" s="272"/>
    </row>
    <row r="554" ht="15.75" customHeight="1">
      <c r="D554" s="272"/>
    </row>
    <row r="555" ht="15.75" customHeight="1">
      <c r="D555" s="272"/>
    </row>
    <row r="556" ht="15.75" customHeight="1">
      <c r="D556" s="272"/>
    </row>
    <row r="557" ht="15.75" customHeight="1">
      <c r="D557" s="272"/>
    </row>
    <row r="558" ht="15.75" customHeight="1">
      <c r="D558" s="272"/>
    </row>
    <row r="559" ht="15.75" customHeight="1">
      <c r="D559" s="272"/>
    </row>
    <row r="560" ht="15.75" customHeight="1">
      <c r="D560" s="272"/>
    </row>
    <row r="561" ht="15.75" customHeight="1">
      <c r="D561" s="272"/>
    </row>
    <row r="562" ht="15.75" customHeight="1">
      <c r="D562" s="272"/>
    </row>
    <row r="563" ht="15.75" customHeight="1">
      <c r="D563" s="272"/>
    </row>
    <row r="564" ht="15.75" customHeight="1">
      <c r="D564" s="272"/>
    </row>
    <row r="565" ht="15.75" customHeight="1">
      <c r="D565" s="272"/>
    </row>
    <row r="566" ht="15.75" customHeight="1">
      <c r="D566" s="272"/>
    </row>
    <row r="567" ht="15.75" customHeight="1">
      <c r="D567" s="272"/>
    </row>
    <row r="568" ht="15.75" customHeight="1">
      <c r="D568" s="272"/>
    </row>
    <row r="569" ht="15.75" customHeight="1">
      <c r="D569" s="272"/>
    </row>
    <row r="570" ht="15.75" customHeight="1">
      <c r="D570" s="272"/>
    </row>
    <row r="571" ht="15.75" customHeight="1">
      <c r="D571" s="272"/>
    </row>
    <row r="572" ht="15.75" customHeight="1">
      <c r="D572" s="272"/>
    </row>
    <row r="573" ht="15.75" customHeight="1">
      <c r="D573" s="272"/>
    </row>
    <row r="574" ht="15.75" customHeight="1">
      <c r="D574" s="272"/>
    </row>
    <row r="575" ht="15.75" customHeight="1">
      <c r="D575" s="272"/>
    </row>
    <row r="576" ht="15.75" customHeight="1">
      <c r="D576" s="272"/>
    </row>
    <row r="577" ht="15.75" customHeight="1">
      <c r="D577" s="272"/>
    </row>
    <row r="578" ht="15.75" customHeight="1">
      <c r="D578" s="272"/>
    </row>
    <row r="579" ht="15.75" customHeight="1">
      <c r="D579" s="272"/>
    </row>
    <row r="580" ht="15.75" customHeight="1">
      <c r="D580" s="272"/>
    </row>
    <row r="581" ht="15.75" customHeight="1">
      <c r="D581" s="272"/>
    </row>
    <row r="582" ht="15.75" customHeight="1">
      <c r="D582" s="272"/>
    </row>
    <row r="583" ht="15.75" customHeight="1">
      <c r="D583" s="272"/>
    </row>
    <row r="584" ht="15.75" customHeight="1">
      <c r="D584" s="272"/>
    </row>
    <row r="585" ht="15.75" customHeight="1">
      <c r="D585" s="272"/>
    </row>
    <row r="586" ht="15.75" customHeight="1">
      <c r="D586" s="272"/>
    </row>
    <row r="587" ht="15.75" customHeight="1">
      <c r="D587" s="272"/>
    </row>
    <row r="588" ht="15.75" customHeight="1">
      <c r="D588" s="272"/>
    </row>
    <row r="589" ht="15.75" customHeight="1">
      <c r="D589" s="272"/>
    </row>
    <row r="590" ht="15.75" customHeight="1">
      <c r="D590" s="272"/>
    </row>
    <row r="591" ht="15.75" customHeight="1">
      <c r="D591" s="272"/>
    </row>
    <row r="592" ht="15.75" customHeight="1">
      <c r="D592" s="272"/>
    </row>
    <row r="593" ht="15.75" customHeight="1">
      <c r="D593" s="272"/>
    </row>
    <row r="594" ht="15.75" customHeight="1">
      <c r="D594" s="272"/>
    </row>
    <row r="595" ht="15.75" customHeight="1">
      <c r="D595" s="272"/>
    </row>
    <row r="596" ht="15.75" customHeight="1">
      <c r="D596" s="272"/>
    </row>
    <row r="597" ht="15.75" customHeight="1">
      <c r="D597" s="272"/>
    </row>
    <row r="598" ht="15.75" customHeight="1">
      <c r="D598" s="272"/>
    </row>
    <row r="599" ht="15.75" customHeight="1">
      <c r="D599" s="272"/>
    </row>
    <row r="600" ht="15.75" customHeight="1">
      <c r="D600" s="272"/>
    </row>
    <row r="601" ht="15.75" customHeight="1">
      <c r="D601" s="272"/>
    </row>
    <row r="602" ht="15.75" customHeight="1">
      <c r="D602" s="272"/>
    </row>
    <row r="603" ht="15.75" customHeight="1">
      <c r="D603" s="272"/>
    </row>
    <row r="604" ht="15.75" customHeight="1">
      <c r="D604" s="272"/>
    </row>
    <row r="605" ht="15.75" customHeight="1">
      <c r="D605" s="272"/>
    </row>
    <row r="606" ht="15.75" customHeight="1">
      <c r="D606" s="272"/>
    </row>
    <row r="607" ht="15.75" customHeight="1">
      <c r="D607" s="272"/>
    </row>
    <row r="608" ht="15.75" customHeight="1">
      <c r="D608" s="272"/>
    </row>
    <row r="609" ht="15.75" customHeight="1">
      <c r="D609" s="272"/>
    </row>
    <row r="610" ht="15.75" customHeight="1">
      <c r="D610" s="272"/>
    </row>
    <row r="611" ht="15.75" customHeight="1">
      <c r="D611" s="272"/>
    </row>
    <row r="612" ht="15.75" customHeight="1">
      <c r="D612" s="272"/>
    </row>
    <row r="613" ht="15.75" customHeight="1">
      <c r="D613" s="272"/>
    </row>
    <row r="614" ht="15.75" customHeight="1">
      <c r="D614" s="272"/>
    </row>
    <row r="615" ht="15.75" customHeight="1">
      <c r="D615" s="272"/>
    </row>
    <row r="616" ht="15.75" customHeight="1">
      <c r="D616" s="272"/>
    </row>
    <row r="617" ht="15.75" customHeight="1">
      <c r="D617" s="272"/>
    </row>
    <row r="618" ht="15.75" customHeight="1">
      <c r="D618" s="272"/>
    </row>
    <row r="619" ht="15.75" customHeight="1">
      <c r="D619" s="272"/>
    </row>
    <row r="620" ht="15.75" customHeight="1">
      <c r="D620" s="272"/>
    </row>
    <row r="621" ht="15.75" customHeight="1">
      <c r="D621" s="272"/>
    </row>
    <row r="622" ht="15.75" customHeight="1">
      <c r="D622" s="272"/>
    </row>
    <row r="623" ht="15.75" customHeight="1">
      <c r="D623" s="272"/>
    </row>
    <row r="624" ht="15.75" customHeight="1">
      <c r="D624" s="272"/>
    </row>
    <row r="625" ht="15.75" customHeight="1">
      <c r="D625" s="272"/>
    </row>
    <row r="626" ht="15.75" customHeight="1">
      <c r="D626" s="272"/>
    </row>
    <row r="627" ht="15.75" customHeight="1">
      <c r="D627" s="272"/>
    </row>
    <row r="628" ht="15.75" customHeight="1">
      <c r="D628" s="272"/>
    </row>
    <row r="629" ht="15.75" customHeight="1">
      <c r="D629" s="272"/>
    </row>
    <row r="630" ht="15.75" customHeight="1">
      <c r="D630" s="272"/>
    </row>
    <row r="631" ht="15.75" customHeight="1">
      <c r="D631" s="272"/>
    </row>
    <row r="632" ht="15.75" customHeight="1">
      <c r="D632" s="272"/>
    </row>
    <row r="633" ht="15.75" customHeight="1">
      <c r="D633" s="272"/>
    </row>
    <row r="634" ht="15.75" customHeight="1">
      <c r="D634" s="272"/>
    </row>
    <row r="635" ht="15.75" customHeight="1">
      <c r="D635" s="272"/>
    </row>
    <row r="636" ht="15.75" customHeight="1">
      <c r="D636" s="272"/>
    </row>
    <row r="637" ht="15.75" customHeight="1">
      <c r="D637" s="272"/>
    </row>
    <row r="638" ht="15.75" customHeight="1">
      <c r="D638" s="272"/>
    </row>
    <row r="639" ht="15.75" customHeight="1">
      <c r="D639" s="272"/>
    </row>
    <row r="640" ht="15.75" customHeight="1">
      <c r="D640" s="272"/>
    </row>
    <row r="641" ht="15.75" customHeight="1">
      <c r="D641" s="272"/>
    </row>
    <row r="642" ht="15.75" customHeight="1">
      <c r="D642" s="272"/>
    </row>
    <row r="643" ht="15.75" customHeight="1">
      <c r="D643" s="272"/>
    </row>
    <row r="644" ht="15.75" customHeight="1">
      <c r="D644" s="272"/>
    </row>
    <row r="645" ht="15.75" customHeight="1">
      <c r="D645" s="272"/>
    </row>
    <row r="646" ht="15.75" customHeight="1">
      <c r="D646" s="272"/>
    </row>
    <row r="647" ht="15.75" customHeight="1">
      <c r="D647" s="272"/>
    </row>
    <row r="648" ht="15.75" customHeight="1">
      <c r="D648" s="272"/>
    </row>
    <row r="649" ht="15.75" customHeight="1">
      <c r="D649" s="272"/>
    </row>
    <row r="650" ht="15.75" customHeight="1">
      <c r="D650" s="272"/>
    </row>
    <row r="651" ht="15.75" customHeight="1">
      <c r="D651" s="272"/>
    </row>
    <row r="652" ht="15.75" customHeight="1">
      <c r="D652" s="272"/>
    </row>
    <row r="653" ht="15.75" customHeight="1">
      <c r="D653" s="272"/>
    </row>
    <row r="654" ht="15.75" customHeight="1">
      <c r="D654" s="272"/>
    </row>
    <row r="655" ht="15.75" customHeight="1">
      <c r="D655" s="272"/>
    </row>
    <row r="656" ht="15.75" customHeight="1">
      <c r="D656" s="272"/>
    </row>
    <row r="657" ht="15.75" customHeight="1">
      <c r="D657" s="272"/>
    </row>
    <row r="658" ht="15.75" customHeight="1">
      <c r="D658" s="272"/>
    </row>
    <row r="659" ht="15.75" customHeight="1">
      <c r="D659" s="272"/>
    </row>
    <row r="660" ht="15.75" customHeight="1">
      <c r="D660" s="272"/>
    </row>
    <row r="661" ht="15.75" customHeight="1">
      <c r="D661" s="272"/>
    </row>
    <row r="662" ht="15.75" customHeight="1">
      <c r="D662" s="272"/>
    </row>
    <row r="663" ht="15.75" customHeight="1">
      <c r="D663" s="272"/>
    </row>
    <row r="664" ht="15.75" customHeight="1">
      <c r="D664" s="272"/>
    </row>
    <row r="665" ht="15.75" customHeight="1">
      <c r="D665" s="272"/>
    </row>
    <row r="666" ht="15.75" customHeight="1">
      <c r="D666" s="272"/>
    </row>
    <row r="667" ht="15.75" customHeight="1">
      <c r="D667" s="272"/>
    </row>
    <row r="668" ht="15.75" customHeight="1">
      <c r="D668" s="272"/>
    </row>
    <row r="669" ht="15.75" customHeight="1">
      <c r="D669" s="272"/>
    </row>
    <row r="670" ht="15.75" customHeight="1">
      <c r="D670" s="272"/>
    </row>
    <row r="671" ht="15.75" customHeight="1">
      <c r="D671" s="272"/>
    </row>
    <row r="672" ht="15.75" customHeight="1">
      <c r="D672" s="272"/>
    </row>
    <row r="673" ht="15.75" customHeight="1">
      <c r="D673" s="272"/>
    </row>
    <row r="674" ht="15.75" customHeight="1">
      <c r="D674" s="272"/>
    </row>
    <row r="675" ht="15.75" customHeight="1">
      <c r="D675" s="272"/>
    </row>
    <row r="676" ht="15.75" customHeight="1">
      <c r="D676" s="272"/>
    </row>
    <row r="677" ht="15.75" customHeight="1">
      <c r="D677" s="272"/>
    </row>
    <row r="678" ht="15.75" customHeight="1">
      <c r="D678" s="272"/>
    </row>
    <row r="679" ht="15.75" customHeight="1">
      <c r="D679" s="272"/>
    </row>
    <row r="680" ht="15.75" customHeight="1">
      <c r="D680" s="272"/>
    </row>
    <row r="681" ht="15.75" customHeight="1">
      <c r="D681" s="272"/>
    </row>
    <row r="682" ht="15.75" customHeight="1">
      <c r="D682" s="272"/>
    </row>
    <row r="683" ht="15.75" customHeight="1">
      <c r="D683" s="272"/>
    </row>
    <row r="684" ht="15.75" customHeight="1">
      <c r="D684" s="272"/>
    </row>
    <row r="685" ht="15.75" customHeight="1">
      <c r="D685" s="272"/>
    </row>
    <row r="686" ht="15.75" customHeight="1">
      <c r="D686" s="272"/>
    </row>
    <row r="687" ht="15.75" customHeight="1">
      <c r="D687" s="272"/>
    </row>
    <row r="688" ht="15.75" customHeight="1">
      <c r="D688" s="272"/>
    </row>
    <row r="689" ht="15.75" customHeight="1">
      <c r="D689" s="272"/>
    </row>
    <row r="690" ht="15.75" customHeight="1">
      <c r="D690" s="272"/>
    </row>
    <row r="691" ht="15.75" customHeight="1">
      <c r="D691" s="272"/>
    </row>
    <row r="692" ht="15.75" customHeight="1">
      <c r="D692" s="272"/>
    </row>
    <row r="693" ht="15.75" customHeight="1">
      <c r="D693" s="272"/>
    </row>
    <row r="694" ht="15.75" customHeight="1">
      <c r="D694" s="272"/>
    </row>
    <row r="695" ht="15.75" customHeight="1">
      <c r="D695" s="272"/>
    </row>
    <row r="696" ht="15.75" customHeight="1">
      <c r="D696" s="272"/>
    </row>
    <row r="697" ht="15.75" customHeight="1">
      <c r="D697" s="272"/>
    </row>
    <row r="698" ht="15.75" customHeight="1">
      <c r="D698" s="272"/>
    </row>
    <row r="699" ht="15.75" customHeight="1">
      <c r="D699" s="272"/>
    </row>
    <row r="700" ht="15.75" customHeight="1">
      <c r="D700" s="272"/>
    </row>
    <row r="701" ht="15.75" customHeight="1">
      <c r="D701" s="272"/>
    </row>
    <row r="702" ht="15.75" customHeight="1">
      <c r="D702" s="272"/>
    </row>
    <row r="703" ht="15.75" customHeight="1">
      <c r="D703" s="272"/>
    </row>
    <row r="704" ht="15.75" customHeight="1">
      <c r="D704" s="272"/>
    </row>
    <row r="705" ht="15.75" customHeight="1">
      <c r="D705" s="272"/>
    </row>
    <row r="706" ht="15.75" customHeight="1">
      <c r="D706" s="272"/>
    </row>
    <row r="707" ht="15.75" customHeight="1">
      <c r="D707" s="272"/>
    </row>
    <row r="708" ht="15.75" customHeight="1">
      <c r="D708" s="272"/>
    </row>
    <row r="709" ht="15.75" customHeight="1">
      <c r="D709" s="272"/>
    </row>
    <row r="710" ht="15.75" customHeight="1">
      <c r="D710" s="272"/>
    </row>
    <row r="711" ht="15.75" customHeight="1">
      <c r="D711" s="272"/>
    </row>
    <row r="712" ht="15.75" customHeight="1">
      <c r="D712" s="272"/>
    </row>
    <row r="713" ht="15.75" customHeight="1">
      <c r="D713" s="272"/>
    </row>
    <row r="714" ht="15.75" customHeight="1">
      <c r="D714" s="272"/>
    </row>
    <row r="715" ht="15.75" customHeight="1">
      <c r="D715" s="272"/>
    </row>
    <row r="716" ht="15.75" customHeight="1">
      <c r="D716" s="272"/>
    </row>
    <row r="717" ht="15.75" customHeight="1">
      <c r="D717" s="272"/>
    </row>
    <row r="718" ht="15.75" customHeight="1">
      <c r="D718" s="272"/>
    </row>
    <row r="719" ht="15.75" customHeight="1">
      <c r="D719" s="272"/>
    </row>
    <row r="720" ht="15.75" customHeight="1">
      <c r="D720" s="272"/>
    </row>
    <row r="721" ht="15.75" customHeight="1">
      <c r="D721" s="272"/>
    </row>
    <row r="722" ht="15.75" customHeight="1">
      <c r="D722" s="272"/>
    </row>
    <row r="723" ht="15.75" customHeight="1">
      <c r="D723" s="272"/>
    </row>
    <row r="724" ht="15.75" customHeight="1">
      <c r="D724" s="272"/>
    </row>
    <row r="725" ht="15.75" customHeight="1">
      <c r="D725" s="272"/>
    </row>
    <row r="726" ht="15.75" customHeight="1">
      <c r="D726" s="272"/>
    </row>
    <row r="727" ht="15.75" customHeight="1">
      <c r="D727" s="272"/>
    </row>
    <row r="728" ht="15.75" customHeight="1">
      <c r="D728" s="272"/>
    </row>
    <row r="729" ht="15.75" customHeight="1">
      <c r="D729" s="272"/>
    </row>
    <row r="730" ht="15.75" customHeight="1">
      <c r="D730" s="272"/>
    </row>
    <row r="731" ht="15.75" customHeight="1">
      <c r="D731" s="272"/>
    </row>
    <row r="732" ht="15.75" customHeight="1">
      <c r="D732" s="272"/>
    </row>
    <row r="733" ht="15.75" customHeight="1">
      <c r="D733" s="272"/>
    </row>
    <row r="734" ht="15.75" customHeight="1">
      <c r="D734" s="272"/>
    </row>
    <row r="735" ht="15.75" customHeight="1">
      <c r="D735" s="272"/>
    </row>
    <row r="736" ht="15.75" customHeight="1">
      <c r="D736" s="272"/>
    </row>
    <row r="737" ht="15.75" customHeight="1">
      <c r="D737" s="272"/>
    </row>
    <row r="738" ht="15.75" customHeight="1">
      <c r="D738" s="272"/>
    </row>
    <row r="739" ht="15.75" customHeight="1">
      <c r="D739" s="272"/>
    </row>
    <row r="740" ht="15.75" customHeight="1">
      <c r="D740" s="272"/>
    </row>
    <row r="741" ht="15.75" customHeight="1">
      <c r="D741" s="272"/>
    </row>
    <row r="742" ht="15.75" customHeight="1">
      <c r="D742" s="272"/>
    </row>
    <row r="743" ht="15.75" customHeight="1">
      <c r="D743" s="272"/>
    </row>
    <row r="744" ht="15.75" customHeight="1">
      <c r="D744" s="272"/>
    </row>
    <row r="745" ht="15.75" customHeight="1">
      <c r="D745" s="272"/>
    </row>
    <row r="746" ht="15.75" customHeight="1">
      <c r="D746" s="272"/>
    </row>
    <row r="747" ht="15.75" customHeight="1">
      <c r="D747" s="272"/>
    </row>
    <row r="748" ht="15.75" customHeight="1">
      <c r="D748" s="272"/>
    </row>
    <row r="749" ht="15.75" customHeight="1">
      <c r="D749" s="272"/>
    </row>
    <row r="750" ht="15.75" customHeight="1">
      <c r="D750" s="272"/>
    </row>
    <row r="751" ht="15.75" customHeight="1">
      <c r="D751" s="272"/>
    </row>
    <row r="752" ht="15.75" customHeight="1">
      <c r="D752" s="272"/>
    </row>
    <row r="753" ht="15.75" customHeight="1">
      <c r="D753" s="272"/>
    </row>
    <row r="754" ht="15.75" customHeight="1">
      <c r="D754" s="272"/>
    </row>
    <row r="755" ht="15.75" customHeight="1">
      <c r="D755" s="272"/>
    </row>
    <row r="756" ht="15.75" customHeight="1">
      <c r="D756" s="272"/>
    </row>
    <row r="757" ht="15.75" customHeight="1">
      <c r="D757" s="272"/>
    </row>
    <row r="758" ht="15.75" customHeight="1">
      <c r="D758" s="272"/>
    </row>
    <row r="759" ht="15.75" customHeight="1">
      <c r="D759" s="272"/>
    </row>
    <row r="760" ht="15.75" customHeight="1">
      <c r="D760" s="272"/>
    </row>
    <row r="761" ht="15.75" customHeight="1">
      <c r="D761" s="272"/>
    </row>
    <row r="762" ht="15.75" customHeight="1">
      <c r="D762" s="272"/>
    </row>
    <row r="763" ht="15.75" customHeight="1">
      <c r="D763" s="272"/>
    </row>
    <row r="764" ht="15.75" customHeight="1">
      <c r="D764" s="272"/>
    </row>
    <row r="765" ht="15.75" customHeight="1">
      <c r="D765" s="272"/>
    </row>
    <row r="766" ht="15.75" customHeight="1">
      <c r="D766" s="272"/>
    </row>
    <row r="767" ht="15.75" customHeight="1">
      <c r="D767" s="272"/>
    </row>
    <row r="768" ht="15.75" customHeight="1">
      <c r="D768" s="272"/>
    </row>
    <row r="769" ht="15.75" customHeight="1">
      <c r="D769" s="272"/>
    </row>
    <row r="770" ht="15.75" customHeight="1">
      <c r="D770" s="272"/>
    </row>
    <row r="771" ht="15.75" customHeight="1">
      <c r="D771" s="272"/>
    </row>
    <row r="772" ht="15.75" customHeight="1">
      <c r="D772" s="272"/>
    </row>
    <row r="773" ht="15.75" customHeight="1">
      <c r="D773" s="272"/>
    </row>
    <row r="774" ht="15.75" customHeight="1">
      <c r="D774" s="272"/>
    </row>
    <row r="775" ht="15.75" customHeight="1">
      <c r="D775" s="272"/>
    </row>
    <row r="776" ht="15.75" customHeight="1">
      <c r="D776" s="272"/>
    </row>
    <row r="777" ht="15.75" customHeight="1">
      <c r="D777" s="272"/>
    </row>
    <row r="778" ht="15.75" customHeight="1">
      <c r="D778" s="272"/>
    </row>
    <row r="779" ht="15.75" customHeight="1">
      <c r="D779" s="272"/>
    </row>
    <row r="780" ht="15.75" customHeight="1">
      <c r="D780" s="272"/>
    </row>
    <row r="781" ht="15.75" customHeight="1">
      <c r="D781" s="272"/>
    </row>
    <row r="782" ht="15.75" customHeight="1">
      <c r="D782" s="272"/>
    </row>
    <row r="783" ht="15.75" customHeight="1">
      <c r="D783" s="272"/>
    </row>
    <row r="784" ht="15.75" customHeight="1">
      <c r="D784" s="272"/>
    </row>
    <row r="785" ht="15.75" customHeight="1">
      <c r="D785" s="272"/>
    </row>
    <row r="786" ht="15.75" customHeight="1">
      <c r="D786" s="272"/>
    </row>
    <row r="787" ht="15.75" customHeight="1">
      <c r="D787" s="272"/>
    </row>
    <row r="788" ht="15.75" customHeight="1">
      <c r="D788" s="272"/>
    </row>
    <row r="789" ht="15.75" customHeight="1">
      <c r="D789" s="272"/>
    </row>
    <row r="790" ht="15.75" customHeight="1">
      <c r="D790" s="272"/>
    </row>
    <row r="791" ht="15.75" customHeight="1">
      <c r="D791" s="272"/>
    </row>
    <row r="792" ht="15.75" customHeight="1">
      <c r="D792" s="272"/>
    </row>
    <row r="793" ht="15.75" customHeight="1">
      <c r="D793" s="272"/>
    </row>
    <row r="794" ht="15.75" customHeight="1">
      <c r="D794" s="272"/>
    </row>
    <row r="795" ht="15.75" customHeight="1">
      <c r="D795" s="272"/>
    </row>
    <row r="796" ht="15.75" customHeight="1">
      <c r="D796" s="272"/>
    </row>
    <row r="797" ht="15.75" customHeight="1">
      <c r="D797" s="272"/>
    </row>
    <row r="798" ht="15.75" customHeight="1">
      <c r="D798" s="272"/>
    </row>
    <row r="799" ht="15.75" customHeight="1">
      <c r="D799" s="272"/>
    </row>
    <row r="800" ht="15.75" customHeight="1">
      <c r="D800" s="272"/>
    </row>
    <row r="801" ht="15.75" customHeight="1">
      <c r="D801" s="272"/>
    </row>
    <row r="802" ht="15.75" customHeight="1">
      <c r="D802" s="272"/>
    </row>
    <row r="803" ht="15.75" customHeight="1">
      <c r="D803" s="272"/>
    </row>
    <row r="804" ht="15.75" customHeight="1">
      <c r="D804" s="272"/>
    </row>
    <row r="805" ht="15.75" customHeight="1">
      <c r="D805" s="272"/>
    </row>
    <row r="806" ht="15.75" customHeight="1">
      <c r="D806" s="272"/>
    </row>
    <row r="807" ht="15.75" customHeight="1">
      <c r="D807" s="272"/>
    </row>
    <row r="808" ht="15.75" customHeight="1">
      <c r="D808" s="272"/>
    </row>
    <row r="809" ht="15.75" customHeight="1">
      <c r="D809" s="272"/>
    </row>
    <row r="810" ht="15.75" customHeight="1">
      <c r="D810" s="272"/>
    </row>
    <row r="811" ht="15.75" customHeight="1">
      <c r="D811" s="272"/>
    </row>
    <row r="812" ht="15.75" customHeight="1">
      <c r="D812" s="272"/>
    </row>
    <row r="813" ht="15.75" customHeight="1">
      <c r="D813" s="272"/>
    </row>
    <row r="814" ht="15.75" customHeight="1">
      <c r="D814" s="272"/>
    </row>
    <row r="815" ht="15.75" customHeight="1">
      <c r="D815" s="272"/>
    </row>
    <row r="816" ht="15.75" customHeight="1">
      <c r="D816" s="272"/>
    </row>
    <row r="817" ht="15.75" customHeight="1">
      <c r="D817" s="272"/>
    </row>
    <row r="818" ht="15.75" customHeight="1">
      <c r="D818" s="272"/>
    </row>
    <row r="819" ht="15.75" customHeight="1">
      <c r="D819" s="272"/>
    </row>
    <row r="820" ht="15.75" customHeight="1">
      <c r="D820" s="272"/>
    </row>
    <row r="821" ht="15.75" customHeight="1">
      <c r="D821" s="272"/>
    </row>
    <row r="822" ht="15.75" customHeight="1">
      <c r="D822" s="272"/>
    </row>
    <row r="823" ht="15.75" customHeight="1">
      <c r="D823" s="272"/>
    </row>
    <row r="824" ht="15.75" customHeight="1">
      <c r="D824" s="272"/>
    </row>
    <row r="825" ht="15.75" customHeight="1">
      <c r="D825" s="272"/>
    </row>
    <row r="826" ht="15.75" customHeight="1">
      <c r="D826" s="272"/>
    </row>
    <row r="827" ht="15.75" customHeight="1">
      <c r="D827" s="272"/>
    </row>
    <row r="828" ht="15.75" customHeight="1">
      <c r="D828" s="272"/>
    </row>
    <row r="829" ht="15.75" customHeight="1">
      <c r="D829" s="272"/>
    </row>
    <row r="830" ht="15.75" customHeight="1">
      <c r="D830" s="272"/>
    </row>
    <row r="831" ht="15.75" customHeight="1">
      <c r="D831" s="272"/>
    </row>
    <row r="832" ht="15.75" customHeight="1">
      <c r="D832" s="272"/>
    </row>
    <row r="833" ht="15.75" customHeight="1">
      <c r="D833" s="272"/>
    </row>
    <row r="834" ht="15.75" customHeight="1">
      <c r="D834" s="272"/>
    </row>
    <row r="835" ht="15.75" customHeight="1">
      <c r="D835" s="272"/>
    </row>
    <row r="836" ht="15.75" customHeight="1">
      <c r="D836" s="272"/>
    </row>
    <row r="837" ht="15.75" customHeight="1">
      <c r="D837" s="272"/>
    </row>
    <row r="838" ht="15.75" customHeight="1">
      <c r="D838" s="272"/>
    </row>
    <row r="839" ht="15.75" customHeight="1">
      <c r="D839" s="272"/>
    </row>
    <row r="840" ht="15.75" customHeight="1">
      <c r="D840" s="272"/>
    </row>
    <row r="841" ht="15.75" customHeight="1">
      <c r="D841" s="272"/>
    </row>
    <row r="842" ht="15.75" customHeight="1">
      <c r="D842" s="272"/>
    </row>
    <row r="843" ht="15.75" customHeight="1">
      <c r="D843" s="272"/>
    </row>
    <row r="844" ht="15.75" customHeight="1">
      <c r="D844" s="272"/>
    </row>
    <row r="845" ht="15.75" customHeight="1">
      <c r="D845" s="272"/>
    </row>
    <row r="846" ht="15.75" customHeight="1">
      <c r="D846" s="272"/>
    </row>
    <row r="847" ht="15.75" customHeight="1">
      <c r="D847" s="272"/>
    </row>
    <row r="848" ht="15.75" customHeight="1">
      <c r="D848" s="272"/>
    </row>
    <row r="849" ht="15.75" customHeight="1">
      <c r="D849" s="272"/>
    </row>
    <row r="850" ht="15.75" customHeight="1">
      <c r="D850" s="272"/>
    </row>
    <row r="851" ht="15.75" customHeight="1">
      <c r="D851" s="272"/>
    </row>
    <row r="852" ht="15.75" customHeight="1">
      <c r="D852" s="272"/>
    </row>
    <row r="853" ht="15.75" customHeight="1">
      <c r="D853" s="272"/>
    </row>
    <row r="854" ht="15.75" customHeight="1">
      <c r="D854" s="272"/>
    </row>
    <row r="855" ht="15.75" customHeight="1">
      <c r="D855" s="272"/>
    </row>
    <row r="856" ht="15.75" customHeight="1">
      <c r="D856" s="272"/>
    </row>
    <row r="857" ht="15.75" customHeight="1">
      <c r="D857" s="272"/>
    </row>
    <row r="858" ht="15.75" customHeight="1">
      <c r="D858" s="272"/>
    </row>
    <row r="859" ht="15.75" customHeight="1">
      <c r="D859" s="272"/>
    </row>
    <row r="860" ht="15.75" customHeight="1">
      <c r="D860" s="272"/>
    </row>
    <row r="861" ht="15.75" customHeight="1">
      <c r="D861" s="272"/>
    </row>
    <row r="862" ht="15.75" customHeight="1">
      <c r="D862" s="272"/>
    </row>
    <row r="863" ht="15.75" customHeight="1">
      <c r="D863" s="272"/>
    </row>
    <row r="864" ht="15.75" customHeight="1">
      <c r="D864" s="272"/>
    </row>
    <row r="865" ht="15.75" customHeight="1">
      <c r="D865" s="272"/>
    </row>
    <row r="866" ht="15.75" customHeight="1">
      <c r="D866" s="272"/>
    </row>
    <row r="867" ht="15.75" customHeight="1">
      <c r="D867" s="272"/>
    </row>
    <row r="868" ht="15.75" customHeight="1">
      <c r="D868" s="272"/>
    </row>
    <row r="869" ht="15.75" customHeight="1">
      <c r="D869" s="272"/>
    </row>
    <row r="870" ht="15.75" customHeight="1">
      <c r="D870" s="272"/>
    </row>
    <row r="871" ht="15.75" customHeight="1">
      <c r="D871" s="272"/>
    </row>
    <row r="872" ht="15.75" customHeight="1">
      <c r="D872" s="272"/>
    </row>
    <row r="873" ht="15.75" customHeight="1">
      <c r="D873" s="272"/>
    </row>
    <row r="874" ht="15.75" customHeight="1">
      <c r="D874" s="272"/>
    </row>
    <row r="875" ht="15.75" customHeight="1">
      <c r="D875" s="272"/>
    </row>
    <row r="876" ht="15.75" customHeight="1">
      <c r="D876" s="272"/>
    </row>
    <row r="877" ht="15.75" customHeight="1">
      <c r="D877" s="272"/>
    </row>
    <row r="878" ht="15.75" customHeight="1">
      <c r="D878" s="272"/>
    </row>
    <row r="879" ht="15.75" customHeight="1">
      <c r="D879" s="272"/>
    </row>
    <row r="880" ht="15.75" customHeight="1">
      <c r="D880" s="272"/>
    </row>
    <row r="881" ht="15.75" customHeight="1">
      <c r="D881" s="272"/>
    </row>
    <row r="882" ht="15.75" customHeight="1">
      <c r="D882" s="272"/>
    </row>
    <row r="883" ht="15.75" customHeight="1">
      <c r="D883" s="272"/>
    </row>
    <row r="884" ht="15.75" customHeight="1">
      <c r="D884" s="272"/>
    </row>
    <row r="885" ht="15.75" customHeight="1">
      <c r="D885" s="272"/>
    </row>
    <row r="886" ht="15.75" customHeight="1">
      <c r="D886" s="272"/>
    </row>
    <row r="887" ht="15.75" customHeight="1">
      <c r="D887" s="272"/>
    </row>
    <row r="888" ht="15.75" customHeight="1">
      <c r="D888" s="272"/>
    </row>
    <row r="889" ht="15.75" customHeight="1">
      <c r="D889" s="272"/>
    </row>
    <row r="890" ht="15.75" customHeight="1">
      <c r="D890" s="272"/>
    </row>
    <row r="891" ht="15.75" customHeight="1">
      <c r="D891" s="272"/>
    </row>
    <row r="892" ht="15.75" customHeight="1">
      <c r="D892" s="272"/>
    </row>
    <row r="893" ht="15.75" customHeight="1">
      <c r="D893" s="272"/>
    </row>
    <row r="894" ht="15.75" customHeight="1">
      <c r="D894" s="272"/>
    </row>
    <row r="895" ht="15.75" customHeight="1">
      <c r="D895" s="272"/>
    </row>
    <row r="896" ht="15.75" customHeight="1">
      <c r="D896" s="272"/>
    </row>
    <row r="897" ht="15.75" customHeight="1">
      <c r="D897" s="272"/>
    </row>
    <row r="898" ht="15.75" customHeight="1">
      <c r="D898" s="272"/>
    </row>
    <row r="899" ht="15.75" customHeight="1">
      <c r="D899" s="272"/>
    </row>
    <row r="900" ht="15.75" customHeight="1">
      <c r="D900" s="272"/>
    </row>
    <row r="901" ht="15.75" customHeight="1">
      <c r="D901" s="272"/>
    </row>
    <row r="902" ht="15.75" customHeight="1">
      <c r="D902" s="272"/>
    </row>
    <row r="903" ht="15.75" customHeight="1">
      <c r="D903" s="272"/>
    </row>
    <row r="904" ht="15.75" customHeight="1">
      <c r="D904" s="272"/>
    </row>
    <row r="905" ht="15.75" customHeight="1">
      <c r="D905" s="272"/>
    </row>
    <row r="906" ht="15.75" customHeight="1">
      <c r="D906" s="272"/>
    </row>
    <row r="907" ht="15.75" customHeight="1">
      <c r="D907" s="272"/>
    </row>
    <row r="908" ht="15.75" customHeight="1">
      <c r="D908" s="272"/>
    </row>
    <row r="909" ht="15.75" customHeight="1">
      <c r="D909" s="272"/>
    </row>
    <row r="910" ht="15.75" customHeight="1">
      <c r="D910" s="272"/>
    </row>
    <row r="911" ht="15.75" customHeight="1">
      <c r="D911" s="272"/>
    </row>
    <row r="912" ht="15.75" customHeight="1">
      <c r="D912" s="272"/>
    </row>
    <row r="913" ht="15.75" customHeight="1">
      <c r="D913" s="272"/>
    </row>
    <row r="914" ht="15.75" customHeight="1">
      <c r="D914" s="272"/>
    </row>
    <row r="915" ht="15.75" customHeight="1">
      <c r="D915" s="272"/>
    </row>
    <row r="916" ht="15.75" customHeight="1">
      <c r="D916" s="272"/>
    </row>
    <row r="917" ht="15.75" customHeight="1">
      <c r="D917" s="272"/>
    </row>
    <row r="918" ht="15.75" customHeight="1">
      <c r="D918" s="272"/>
    </row>
    <row r="919" ht="15.75" customHeight="1">
      <c r="D919" s="272"/>
    </row>
    <row r="920" ht="15.75" customHeight="1">
      <c r="D920" s="272"/>
    </row>
    <row r="921" ht="15.75" customHeight="1">
      <c r="D921" s="272"/>
    </row>
    <row r="922" ht="15.75" customHeight="1">
      <c r="D922" s="272"/>
    </row>
    <row r="923" ht="15.75" customHeight="1">
      <c r="D923" s="272"/>
    </row>
    <row r="924" ht="15.75" customHeight="1">
      <c r="D924" s="272"/>
    </row>
    <row r="925" ht="15.75" customHeight="1">
      <c r="D925" s="272"/>
    </row>
    <row r="926" ht="15.75" customHeight="1">
      <c r="D926" s="272"/>
    </row>
    <row r="927" ht="15.75" customHeight="1">
      <c r="D927" s="272"/>
    </row>
    <row r="928" ht="15.75" customHeight="1">
      <c r="D928" s="272"/>
    </row>
    <row r="929" ht="15.75" customHeight="1">
      <c r="D929" s="272"/>
    </row>
    <row r="930" ht="15.75" customHeight="1">
      <c r="D930" s="272"/>
    </row>
    <row r="931" ht="15.75" customHeight="1">
      <c r="D931" s="272"/>
    </row>
    <row r="932" ht="15.75" customHeight="1">
      <c r="D932" s="272"/>
    </row>
    <row r="933" ht="15.75" customHeight="1">
      <c r="D933" s="272"/>
    </row>
    <row r="934" ht="15.75" customHeight="1">
      <c r="D934" s="272"/>
    </row>
    <row r="935" ht="15.75" customHeight="1">
      <c r="D935" s="272"/>
    </row>
    <row r="936" ht="15.75" customHeight="1">
      <c r="D936" s="272"/>
    </row>
    <row r="937" ht="15.75" customHeight="1">
      <c r="D937" s="272"/>
    </row>
    <row r="938" ht="15.75" customHeight="1">
      <c r="D938" s="272"/>
    </row>
    <row r="939" ht="15.75" customHeight="1">
      <c r="D939" s="272"/>
    </row>
    <row r="940" ht="15.75" customHeight="1">
      <c r="D940" s="272"/>
    </row>
    <row r="941" ht="15.75" customHeight="1">
      <c r="D941" s="272"/>
    </row>
    <row r="942" ht="15.75" customHeight="1">
      <c r="D942" s="272"/>
    </row>
    <row r="943" ht="15.75" customHeight="1">
      <c r="D943" s="272"/>
    </row>
    <row r="944" ht="15.75" customHeight="1">
      <c r="D944" s="272"/>
    </row>
    <row r="945" ht="15.75" customHeight="1">
      <c r="D945" s="272"/>
    </row>
    <row r="946" ht="15.75" customHeight="1">
      <c r="D946" s="272"/>
    </row>
    <row r="947" ht="15.75" customHeight="1">
      <c r="D947" s="272"/>
    </row>
    <row r="948" ht="15.75" customHeight="1">
      <c r="D948" s="272"/>
    </row>
    <row r="949" ht="15.75" customHeight="1">
      <c r="D949" s="272"/>
    </row>
    <row r="950" ht="15.75" customHeight="1">
      <c r="D950" s="272"/>
    </row>
    <row r="951" ht="15.75" customHeight="1">
      <c r="D951" s="272"/>
    </row>
    <row r="952" ht="15.75" customHeight="1">
      <c r="D952" s="272"/>
    </row>
    <row r="953" ht="15.75" customHeight="1">
      <c r="D953" s="272"/>
    </row>
    <row r="954" ht="15.75" customHeight="1">
      <c r="D954" s="272"/>
    </row>
    <row r="955" ht="15.75" customHeight="1">
      <c r="D955" s="272"/>
    </row>
    <row r="956" ht="15.75" customHeight="1">
      <c r="D956" s="272"/>
    </row>
    <row r="957" ht="15.75" customHeight="1">
      <c r="D957" s="272"/>
    </row>
    <row r="958" ht="15.75" customHeight="1">
      <c r="D958" s="272"/>
    </row>
    <row r="959" ht="15.75" customHeight="1">
      <c r="D959" s="272"/>
    </row>
    <row r="960" ht="15.75" customHeight="1">
      <c r="D960" s="272"/>
    </row>
    <row r="961" ht="15.75" customHeight="1">
      <c r="D961" s="272"/>
    </row>
    <row r="962" ht="15.75" customHeight="1">
      <c r="D962" s="272"/>
    </row>
    <row r="963" ht="15.75" customHeight="1">
      <c r="D963" s="272"/>
    </row>
    <row r="964" ht="15.75" customHeight="1">
      <c r="D964" s="272"/>
    </row>
    <row r="965" ht="15.75" customHeight="1">
      <c r="D965" s="272"/>
    </row>
    <row r="966" ht="15.75" customHeight="1">
      <c r="D966" s="272"/>
    </row>
    <row r="967" ht="15.75" customHeight="1">
      <c r="D967" s="272"/>
    </row>
    <row r="968" ht="15.75" customHeight="1">
      <c r="D968" s="272"/>
    </row>
    <row r="969" ht="15.75" customHeight="1">
      <c r="D969" s="272"/>
    </row>
    <row r="970" ht="15.75" customHeight="1">
      <c r="D970" s="272"/>
    </row>
    <row r="971" ht="15.75" customHeight="1">
      <c r="D971" s="272"/>
    </row>
    <row r="972" ht="15.75" customHeight="1">
      <c r="D972" s="272"/>
    </row>
    <row r="973" ht="15.75" customHeight="1">
      <c r="D973" s="272"/>
    </row>
    <row r="974" ht="15.75" customHeight="1">
      <c r="D974" s="272"/>
    </row>
    <row r="975" ht="15.75" customHeight="1">
      <c r="D975" s="272"/>
    </row>
    <row r="976" ht="15.75" customHeight="1">
      <c r="D976" s="272"/>
    </row>
    <row r="977" ht="15.75" customHeight="1">
      <c r="D977" s="272"/>
    </row>
    <row r="978" ht="15.75" customHeight="1">
      <c r="D978" s="272"/>
    </row>
    <row r="979" ht="15.75" customHeight="1">
      <c r="D979" s="272"/>
    </row>
    <row r="980" ht="15.75" customHeight="1">
      <c r="D980" s="272"/>
    </row>
    <row r="981" ht="15.75" customHeight="1">
      <c r="D981" s="272"/>
    </row>
    <row r="982" ht="15.75" customHeight="1">
      <c r="D982" s="272"/>
    </row>
    <row r="983" ht="15.75" customHeight="1">
      <c r="D983" s="272"/>
    </row>
    <row r="984" ht="15.75" customHeight="1">
      <c r="D984" s="272"/>
    </row>
    <row r="985" ht="15.75" customHeight="1">
      <c r="D985" s="272"/>
    </row>
    <row r="986" ht="15.75" customHeight="1">
      <c r="D986" s="272"/>
    </row>
    <row r="987" ht="15.75" customHeight="1">
      <c r="D987" s="272"/>
    </row>
    <row r="988" ht="15.75" customHeight="1">
      <c r="D988" s="272"/>
    </row>
    <row r="989" ht="15.75" customHeight="1">
      <c r="D989" s="272"/>
    </row>
    <row r="990" ht="15.75" customHeight="1">
      <c r="D990" s="272"/>
    </row>
    <row r="991" ht="15.75" customHeight="1">
      <c r="D991" s="272"/>
    </row>
    <row r="992" ht="15.75" customHeight="1">
      <c r="D992" s="272"/>
    </row>
    <row r="993" ht="15.75" customHeight="1">
      <c r="D993" s="272"/>
    </row>
    <row r="994" ht="15.75" customHeight="1">
      <c r="D994" s="272"/>
    </row>
    <row r="995" ht="15.75" customHeight="1">
      <c r="D995" s="272"/>
    </row>
    <row r="996" ht="15.75" customHeight="1">
      <c r="D996" s="272"/>
    </row>
    <row r="997" ht="15.75" customHeight="1">
      <c r="D997" s="272"/>
    </row>
    <row r="998" ht="15.75" customHeight="1">
      <c r="D998" s="272"/>
    </row>
    <row r="999" ht="15.75" customHeight="1">
      <c r="D999" s="272"/>
    </row>
    <row r="1000" ht="15.75" customHeight="1">
      <c r="D1000" s="272"/>
    </row>
    <row r="1001" ht="15.75" customHeight="1">
      <c r="D1001" s="272"/>
    </row>
    <row r="1002" ht="15.75" customHeight="1">
      <c r="D1002" s="272"/>
    </row>
    <row r="1003" ht="15.75" customHeight="1">
      <c r="D1003" s="272"/>
    </row>
    <row r="1004" ht="15.75" customHeight="1">
      <c r="D1004" s="272"/>
    </row>
    <row r="1005" ht="15.75" customHeight="1">
      <c r="D1005" s="272"/>
    </row>
    <row r="1006" ht="15.75" customHeight="1">
      <c r="D1006" s="272"/>
    </row>
    <row r="1007" ht="15.75" customHeight="1">
      <c r="D1007" s="272"/>
    </row>
    <row r="1008" ht="15.75" customHeight="1">
      <c r="D1008" s="272"/>
    </row>
    <row r="1009" ht="15.75" customHeight="1">
      <c r="D1009" s="272"/>
    </row>
    <row r="1010" ht="15.75" customHeight="1">
      <c r="D1010" s="272"/>
    </row>
    <row r="1011" ht="15.75" customHeight="1">
      <c r="D1011" s="272"/>
    </row>
    <row r="1012" ht="15.75" customHeight="1">
      <c r="D1012" s="272"/>
    </row>
    <row r="1013" ht="15.75" customHeight="1">
      <c r="D1013" s="272"/>
    </row>
    <row r="1014" ht="15.75" customHeight="1">
      <c r="D1014" s="272"/>
    </row>
    <row r="1015" ht="15.75" customHeight="1">
      <c r="D1015" s="272"/>
    </row>
    <row r="1016" ht="15.75" customHeight="1">
      <c r="D1016" s="272"/>
    </row>
    <row r="1017" ht="15.75" customHeight="1">
      <c r="D1017" s="272"/>
    </row>
    <row r="1018" ht="15.75" customHeight="1">
      <c r="D1018" s="272"/>
    </row>
    <row r="1019" ht="15.75" customHeight="1">
      <c r="D1019" s="272"/>
    </row>
    <row r="1020" ht="15.75" customHeight="1">
      <c r="D1020" s="272"/>
    </row>
    <row r="1021" ht="15.75" customHeight="1">
      <c r="D1021" s="272"/>
    </row>
    <row r="1022" ht="15.75" customHeight="1">
      <c r="D1022" s="272"/>
    </row>
    <row r="1023" ht="15.75" customHeight="1">
      <c r="D1023" s="272"/>
    </row>
    <row r="1024" ht="15.75" customHeight="1">
      <c r="D1024" s="272"/>
    </row>
  </sheetData>
  <autoFilter ref="$A$1:$Z$1024"/>
  <printOptions gridLines="1" horizontalCentered="1"/>
  <pageMargins bottom="0.19685039370078738" footer="0.0" header="0.0" left="0.31496062992125984" right="0.39370078740157477" top="0.19685039370078738"/>
  <pageSetup paperSize="9" scale="78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16.25"/>
    <col customWidth="1" min="3" max="3" width="26.38"/>
    <col customWidth="1" min="4" max="4" width="10.88"/>
    <col customWidth="1" min="5" max="5" width="10.63"/>
    <col customWidth="1" min="9" max="9" width="29.13"/>
    <col customWidth="1" min="10" max="10" width="15.25"/>
    <col customWidth="1" min="11" max="11" width="14.5"/>
    <col customWidth="1" min="14" max="14" width="9.25"/>
    <col customWidth="1" min="15" max="15" width="6.63"/>
    <col customWidth="1" min="16" max="16" width="8.38"/>
  </cols>
  <sheetData>
    <row r="1" ht="19.5" customHeight="1">
      <c r="A1" s="1" t="s">
        <v>0</v>
      </c>
      <c r="B1" s="1" t="s">
        <v>2</v>
      </c>
      <c r="C1" s="1" t="s">
        <v>3</v>
      </c>
      <c r="D1" s="3" t="s">
        <v>4</v>
      </c>
      <c r="E1" s="3" t="s">
        <v>5</v>
      </c>
      <c r="F1" s="4" t="s">
        <v>6</v>
      </c>
      <c r="G1" s="1" t="s">
        <v>7</v>
      </c>
      <c r="H1" s="1" t="s">
        <v>8</v>
      </c>
      <c r="I1" s="6" t="str">
        <f> CONCAT("ค้างจ่าย   ", text( SUMIF($E$1:E42902,"",$D$1:D42902),"#,##0"))</f>
        <v>ค้างจ่าย   0</v>
      </c>
      <c r="J1" s="7" t="s">
        <v>9</v>
      </c>
      <c r="L1" s="9"/>
    </row>
    <row r="2" ht="15.75" customHeight="1">
      <c r="A2" s="10">
        <v>46235.0</v>
      </c>
      <c r="B2" s="12" t="s">
        <v>10</v>
      </c>
      <c r="C2" s="14" t="s">
        <v>12</v>
      </c>
      <c r="D2" s="16">
        <v>70.0</v>
      </c>
      <c r="E2" s="17">
        <v>70.0</v>
      </c>
      <c r="F2" s="19">
        <v>46235.0</v>
      </c>
      <c r="G2" s="22" t="s">
        <v>14</v>
      </c>
      <c r="H2" s="23" t="s">
        <v>17</v>
      </c>
      <c r="I2" s="25"/>
      <c r="J2" s="27"/>
      <c r="O2" s="7"/>
    </row>
    <row r="3" ht="15.75" customHeight="1">
      <c r="A3" s="30">
        <v>46235.0</v>
      </c>
      <c r="B3" s="13" t="s">
        <v>25</v>
      </c>
      <c r="C3" s="13" t="s">
        <v>26</v>
      </c>
      <c r="D3" s="18">
        <v>140.0</v>
      </c>
      <c r="E3" s="33">
        <v>140.0</v>
      </c>
      <c r="F3" s="35">
        <v>46235.0</v>
      </c>
      <c r="G3" s="13" t="s">
        <v>14</v>
      </c>
      <c r="H3" s="36" t="s">
        <v>17</v>
      </c>
      <c r="I3" s="21"/>
      <c r="J3" s="38"/>
    </row>
    <row r="4" ht="15.75" customHeight="1">
      <c r="A4" s="30">
        <v>46235.0</v>
      </c>
      <c r="B4" s="13" t="s">
        <v>34</v>
      </c>
      <c r="C4" s="13" t="s">
        <v>35</v>
      </c>
      <c r="D4" s="18">
        <v>654.0</v>
      </c>
      <c r="E4" s="33">
        <v>654.0</v>
      </c>
      <c r="F4" s="35">
        <v>46235.0</v>
      </c>
      <c r="G4" s="13" t="s">
        <v>14</v>
      </c>
      <c r="H4" s="36" t="s">
        <v>17</v>
      </c>
      <c r="I4" s="21"/>
      <c r="J4" s="38"/>
    </row>
    <row r="5" ht="15.75" customHeight="1">
      <c r="A5" s="30">
        <v>46235.0</v>
      </c>
      <c r="B5" s="13" t="s">
        <v>38</v>
      </c>
      <c r="C5" s="13" t="s">
        <v>40</v>
      </c>
      <c r="D5" s="18">
        <v>1000.0</v>
      </c>
      <c r="E5" s="13">
        <v>1000.0</v>
      </c>
      <c r="F5" s="35">
        <v>46235.0</v>
      </c>
      <c r="G5" s="13" t="s">
        <v>14</v>
      </c>
      <c r="H5" s="36" t="s">
        <v>17</v>
      </c>
      <c r="I5" s="21"/>
      <c r="J5" s="38"/>
    </row>
    <row r="6" ht="15.75" customHeight="1">
      <c r="A6" s="30">
        <v>46235.0</v>
      </c>
      <c r="B6" s="13" t="s">
        <v>43</v>
      </c>
      <c r="C6" s="13" t="s">
        <v>44</v>
      </c>
      <c r="D6" s="18">
        <v>12000.0</v>
      </c>
      <c r="E6" s="33">
        <v>12000.0</v>
      </c>
      <c r="F6" s="35">
        <v>46235.0</v>
      </c>
      <c r="G6" s="13" t="s">
        <v>14</v>
      </c>
      <c r="H6" s="36" t="s">
        <v>17</v>
      </c>
      <c r="I6" s="21"/>
      <c r="J6" s="38"/>
    </row>
    <row r="7" ht="15.75" customHeight="1">
      <c r="A7" s="30">
        <v>46235.0</v>
      </c>
      <c r="B7" s="13" t="s">
        <v>48</v>
      </c>
      <c r="C7" s="13" t="s">
        <v>49</v>
      </c>
      <c r="D7" s="18">
        <v>3375.0</v>
      </c>
      <c r="E7" s="33">
        <v>3375.0</v>
      </c>
      <c r="F7" s="35">
        <v>46235.0</v>
      </c>
      <c r="G7" s="13" t="s">
        <v>14</v>
      </c>
      <c r="H7" s="36" t="s">
        <v>17</v>
      </c>
      <c r="I7" s="21"/>
      <c r="J7" s="38"/>
    </row>
    <row r="8" ht="15.75" customHeight="1">
      <c r="A8" s="30">
        <v>46235.0</v>
      </c>
      <c r="B8" s="13" t="s">
        <v>52</v>
      </c>
      <c r="C8" s="13" t="s">
        <v>53</v>
      </c>
      <c r="D8" s="18">
        <v>33710.0</v>
      </c>
      <c r="E8" s="13">
        <v>33710.0</v>
      </c>
      <c r="F8" s="35">
        <v>46244.0</v>
      </c>
      <c r="G8" s="13" t="s">
        <v>55</v>
      </c>
      <c r="H8" s="45" t="s">
        <v>56</v>
      </c>
      <c r="I8" s="21"/>
      <c r="J8" s="38"/>
    </row>
    <row r="9" ht="15.75" customHeight="1">
      <c r="A9" s="30">
        <v>46235.0</v>
      </c>
      <c r="B9" s="13" t="s">
        <v>50</v>
      </c>
      <c r="C9" s="13" t="s">
        <v>60</v>
      </c>
      <c r="D9" s="18">
        <v>1376.0</v>
      </c>
      <c r="E9" s="13">
        <v>1376.0</v>
      </c>
      <c r="F9" s="35">
        <v>46235.0</v>
      </c>
      <c r="G9" s="13" t="s">
        <v>14</v>
      </c>
      <c r="H9" s="36" t="s">
        <v>17</v>
      </c>
      <c r="I9" s="21"/>
      <c r="J9" s="38"/>
      <c r="N9" s="48" t="s">
        <v>65</v>
      </c>
      <c r="O9" s="48" t="s">
        <v>70</v>
      </c>
    </row>
    <row r="10">
      <c r="A10" s="30">
        <v>46235.0</v>
      </c>
      <c r="B10" s="13" t="s">
        <v>71</v>
      </c>
      <c r="C10" s="13" t="s">
        <v>72</v>
      </c>
      <c r="D10" s="18">
        <v>5913.0</v>
      </c>
      <c r="E10" s="13">
        <v>5913.0</v>
      </c>
      <c r="F10" s="35">
        <v>46235.0</v>
      </c>
      <c r="G10" s="13" t="s">
        <v>14</v>
      </c>
      <c r="H10" s="36" t="s">
        <v>17</v>
      </c>
      <c r="I10" s="21"/>
      <c r="J10" s="38"/>
      <c r="M10" s="7" t="s">
        <v>73</v>
      </c>
      <c r="N10" s="52">
        <v>113819.0</v>
      </c>
      <c r="O10" s="52">
        <v>73275.0</v>
      </c>
    </row>
    <row r="11">
      <c r="A11" s="55"/>
      <c r="B11" s="57"/>
      <c r="C11" s="57"/>
      <c r="D11" s="60"/>
      <c r="E11" s="57"/>
      <c r="F11" s="62"/>
      <c r="G11" s="57"/>
      <c r="H11" s="63"/>
      <c r="I11" s="57"/>
      <c r="J11" s="64"/>
      <c r="M11" s="7" t="s">
        <v>78</v>
      </c>
      <c r="N11" s="52">
        <v>541548.0</v>
      </c>
      <c r="O11" s="52">
        <v>540005.0</v>
      </c>
    </row>
    <row r="12">
      <c r="A12" s="10">
        <v>46236.0</v>
      </c>
      <c r="B12" s="12" t="s">
        <v>10</v>
      </c>
      <c r="C12" s="14" t="s">
        <v>12</v>
      </c>
      <c r="D12" s="16">
        <v>70.0</v>
      </c>
      <c r="E12" s="17">
        <v>70.0</v>
      </c>
      <c r="F12" s="67">
        <v>46236.0</v>
      </c>
      <c r="G12" s="41" t="s">
        <v>14</v>
      </c>
      <c r="H12" s="69" t="s">
        <v>17</v>
      </c>
      <c r="I12" s="25"/>
      <c r="J12" s="27"/>
      <c r="M12" s="7" t="s">
        <v>86</v>
      </c>
      <c r="N12" s="52">
        <v>107569.0</v>
      </c>
      <c r="O12" s="52">
        <v>131729.0</v>
      </c>
    </row>
    <row r="13">
      <c r="A13" s="30">
        <v>46236.0</v>
      </c>
      <c r="B13" s="13" t="s">
        <v>25</v>
      </c>
      <c r="C13" s="13" t="s">
        <v>89</v>
      </c>
      <c r="D13" s="18">
        <v>105.0</v>
      </c>
      <c r="E13" s="33">
        <v>105.0</v>
      </c>
      <c r="F13" s="35">
        <v>46236.0</v>
      </c>
      <c r="G13" s="13" t="s">
        <v>14</v>
      </c>
      <c r="H13" s="36" t="s">
        <v>17</v>
      </c>
      <c r="I13" s="21"/>
      <c r="J13" s="38"/>
      <c r="N13" s="74">
        <f t="shared" ref="N13:O13" si="1">SUM(N10:N12)</f>
        <v>762936</v>
      </c>
      <c r="O13" s="74">
        <f t="shared" si="1"/>
        <v>745009</v>
      </c>
    </row>
    <row r="14">
      <c r="A14" s="30">
        <v>46236.0</v>
      </c>
      <c r="B14" s="13" t="s">
        <v>99</v>
      </c>
      <c r="C14" s="13" t="s">
        <v>100</v>
      </c>
      <c r="D14" s="18">
        <v>400.0</v>
      </c>
      <c r="E14" s="13">
        <v>400.0</v>
      </c>
      <c r="F14" s="35">
        <v>46236.0</v>
      </c>
      <c r="G14" s="13" t="s">
        <v>14</v>
      </c>
      <c r="H14" s="36" t="s">
        <v>17</v>
      </c>
      <c r="I14" s="21"/>
      <c r="J14" s="38"/>
      <c r="O14" s="79">
        <f>N13-O13</f>
        <v>17927</v>
      </c>
    </row>
    <row r="15">
      <c r="A15" s="30">
        <v>46236.0</v>
      </c>
      <c r="B15" s="13" t="s">
        <v>101</v>
      </c>
      <c r="C15" s="81" t="s">
        <v>103</v>
      </c>
      <c r="D15" s="18">
        <v>500.0</v>
      </c>
      <c r="E15" s="13">
        <v>500.0</v>
      </c>
      <c r="F15" s="35">
        <v>46236.0</v>
      </c>
      <c r="G15" s="13" t="s">
        <v>14</v>
      </c>
      <c r="H15" s="36" t="s">
        <v>17</v>
      </c>
      <c r="I15" s="21"/>
      <c r="J15" s="38"/>
    </row>
    <row r="16">
      <c r="A16" s="30">
        <v>46236.0</v>
      </c>
      <c r="B16" s="13" t="s">
        <v>104</v>
      </c>
      <c r="C16" s="13" t="s">
        <v>105</v>
      </c>
      <c r="D16" s="18">
        <v>720.0</v>
      </c>
      <c r="E16" s="13">
        <v>720.0</v>
      </c>
      <c r="F16" s="35">
        <v>46236.0</v>
      </c>
      <c r="G16" s="13" t="s">
        <v>14</v>
      </c>
      <c r="H16" s="36" t="s">
        <v>17</v>
      </c>
      <c r="I16" s="21"/>
      <c r="J16" s="38"/>
    </row>
    <row r="17">
      <c r="A17" s="30">
        <v>46236.0</v>
      </c>
      <c r="B17" s="13" t="s">
        <v>106</v>
      </c>
      <c r="C17" s="13" t="s">
        <v>108</v>
      </c>
      <c r="D17" s="18">
        <v>12220.0</v>
      </c>
      <c r="E17" s="13">
        <v>12220.0</v>
      </c>
      <c r="F17" s="35">
        <v>46242.0</v>
      </c>
      <c r="G17" s="13" t="s">
        <v>36</v>
      </c>
      <c r="H17" s="45" t="s">
        <v>56</v>
      </c>
      <c r="I17" s="21"/>
      <c r="J17" s="38"/>
    </row>
    <row r="18">
      <c r="A18" s="30">
        <v>46236.0</v>
      </c>
      <c r="B18" s="13" t="s">
        <v>38</v>
      </c>
      <c r="C18" s="13" t="s">
        <v>111</v>
      </c>
      <c r="D18" s="18">
        <v>1000.0</v>
      </c>
      <c r="E18" s="13">
        <v>1000.0</v>
      </c>
      <c r="F18" s="35">
        <v>46236.0</v>
      </c>
      <c r="G18" s="13" t="s">
        <v>14</v>
      </c>
      <c r="H18" s="36" t="s">
        <v>17</v>
      </c>
      <c r="I18" s="21"/>
      <c r="J18" s="38"/>
    </row>
    <row r="19">
      <c r="A19" s="30">
        <v>46236.0</v>
      </c>
      <c r="B19" s="13" t="s">
        <v>38</v>
      </c>
      <c r="C19" s="13" t="s">
        <v>40</v>
      </c>
      <c r="D19" s="18">
        <v>1000.0</v>
      </c>
      <c r="E19" s="13">
        <v>1000.0</v>
      </c>
      <c r="F19" s="35">
        <v>46236.0</v>
      </c>
      <c r="G19" s="13" t="s">
        <v>14</v>
      </c>
      <c r="H19" s="36" t="s">
        <v>17</v>
      </c>
      <c r="I19" s="21"/>
      <c r="J19" s="38"/>
      <c r="N19" s="7">
        <v>1000.0</v>
      </c>
      <c r="O19" s="7">
        <v>2.0</v>
      </c>
      <c r="P19" s="39">
        <f t="shared" ref="P19:P21" si="2">N19*O19</f>
        <v>2000</v>
      </c>
    </row>
    <row r="20">
      <c r="A20" s="30">
        <v>46236.0</v>
      </c>
      <c r="B20" s="13" t="s">
        <v>118</v>
      </c>
      <c r="C20" s="13" t="s">
        <v>119</v>
      </c>
      <c r="D20" s="18">
        <v>3090.0</v>
      </c>
      <c r="E20" s="13">
        <v>3090.0</v>
      </c>
      <c r="F20" s="35">
        <v>46235.0</v>
      </c>
      <c r="G20" s="13" t="s">
        <v>55</v>
      </c>
      <c r="H20" s="45" t="s">
        <v>56</v>
      </c>
      <c r="I20" s="21"/>
      <c r="J20" s="38"/>
      <c r="N20" s="7">
        <v>500.0</v>
      </c>
      <c r="O20" s="7">
        <v>0.0</v>
      </c>
      <c r="P20" s="39">
        <f t="shared" si="2"/>
        <v>0</v>
      </c>
    </row>
    <row r="21">
      <c r="A21" s="89">
        <v>46236.0</v>
      </c>
      <c r="B21" s="65" t="s">
        <v>121</v>
      </c>
      <c r="C21" s="65" t="s">
        <v>122</v>
      </c>
      <c r="D21" s="70">
        <v>244860.0</v>
      </c>
      <c r="E21" s="65">
        <v>184860.0</v>
      </c>
      <c r="F21" s="92">
        <v>46249.0</v>
      </c>
      <c r="G21" s="13" t="s">
        <v>55</v>
      </c>
      <c r="H21" s="94" t="s">
        <v>42</v>
      </c>
      <c r="I21" s="65"/>
      <c r="J21" s="73"/>
      <c r="N21" s="7">
        <v>100.0</v>
      </c>
      <c r="O21" s="7">
        <v>78.0</v>
      </c>
      <c r="P21" s="39">
        <f t="shared" si="2"/>
        <v>7800</v>
      </c>
    </row>
    <row r="22">
      <c r="A22" s="89"/>
      <c r="B22" s="65"/>
      <c r="C22" s="65"/>
      <c r="D22" s="70"/>
      <c r="E22" s="65">
        <v>60000.0</v>
      </c>
      <c r="F22" s="92">
        <v>46252.0</v>
      </c>
      <c r="G22" s="13" t="s">
        <v>55</v>
      </c>
      <c r="H22" s="94" t="s">
        <v>42</v>
      </c>
      <c r="I22" s="97"/>
      <c r="J22" s="73"/>
      <c r="N22" s="7"/>
      <c r="O22" s="7"/>
    </row>
    <row r="23">
      <c r="A23" s="89">
        <v>46236.0</v>
      </c>
      <c r="B23" s="13" t="s">
        <v>50</v>
      </c>
      <c r="C23" s="65" t="s">
        <v>131</v>
      </c>
      <c r="D23" s="70">
        <v>283.0</v>
      </c>
      <c r="E23" s="65">
        <v>283.0</v>
      </c>
      <c r="F23" s="92">
        <v>46236.0</v>
      </c>
      <c r="G23" s="65" t="s">
        <v>14</v>
      </c>
      <c r="H23" s="100" t="s">
        <v>17</v>
      </c>
      <c r="I23" s="97"/>
      <c r="J23" s="73"/>
      <c r="N23" s="7">
        <v>20.0</v>
      </c>
      <c r="O23" s="7">
        <v>122.0</v>
      </c>
      <c r="P23" s="39">
        <f>N23*O23</f>
        <v>2440</v>
      </c>
    </row>
    <row r="24">
      <c r="A24" s="10">
        <v>46237.0</v>
      </c>
      <c r="B24" s="95" t="s">
        <v>133</v>
      </c>
      <c r="C24" s="95" t="s">
        <v>135</v>
      </c>
      <c r="D24" s="16">
        <v>30750.0</v>
      </c>
      <c r="E24" s="95">
        <v>30750.0</v>
      </c>
      <c r="F24" s="67">
        <v>46237.0</v>
      </c>
      <c r="G24" s="95" t="s">
        <v>55</v>
      </c>
      <c r="H24" s="105" t="s">
        <v>42</v>
      </c>
      <c r="I24" s="25"/>
      <c r="J24" s="27"/>
      <c r="N24" s="7" t="s">
        <v>137</v>
      </c>
      <c r="P24" s="7">
        <v>7000.0</v>
      </c>
    </row>
    <row r="25">
      <c r="A25" s="30">
        <v>46237.0</v>
      </c>
      <c r="B25" s="13" t="s">
        <v>50</v>
      </c>
      <c r="C25" s="13" t="s">
        <v>139</v>
      </c>
      <c r="D25" s="18">
        <v>282.0</v>
      </c>
      <c r="E25" s="13">
        <v>282.0</v>
      </c>
      <c r="F25" s="35">
        <v>46237.0</v>
      </c>
      <c r="G25" s="13" t="s">
        <v>14</v>
      </c>
      <c r="H25" s="36" t="s">
        <v>17</v>
      </c>
      <c r="I25" s="21"/>
      <c r="J25" s="38"/>
      <c r="N25" s="7" t="s">
        <v>137</v>
      </c>
      <c r="P25" s="7">
        <v>241.0</v>
      </c>
    </row>
    <row r="26">
      <c r="A26" s="30">
        <v>46237.0</v>
      </c>
      <c r="B26" s="13" t="s">
        <v>143</v>
      </c>
      <c r="C26" s="13" t="s">
        <v>145</v>
      </c>
      <c r="D26" s="18">
        <v>8000.0</v>
      </c>
      <c r="E26" s="13">
        <v>8000.0</v>
      </c>
      <c r="F26" s="35">
        <v>46237.0</v>
      </c>
      <c r="G26" s="13" t="s">
        <v>14</v>
      </c>
      <c r="H26" s="36" t="s">
        <v>17</v>
      </c>
      <c r="I26" s="21"/>
      <c r="J26" s="38"/>
      <c r="N26" s="111" t="s">
        <v>147</v>
      </c>
      <c r="O26" s="114"/>
      <c r="P26" s="114">
        <f>SUM(P19:P25)</f>
        <v>19481</v>
      </c>
    </row>
    <row r="27">
      <c r="A27" s="30">
        <v>46237.0</v>
      </c>
      <c r="B27" s="116" t="s">
        <v>10</v>
      </c>
      <c r="C27" s="117" t="s">
        <v>12</v>
      </c>
      <c r="D27" s="18">
        <v>70.0</v>
      </c>
      <c r="E27" s="13">
        <v>70.0</v>
      </c>
      <c r="F27" s="35">
        <v>46237.0</v>
      </c>
      <c r="G27" s="13" t="s">
        <v>14</v>
      </c>
      <c r="H27" s="36" t="s">
        <v>17</v>
      </c>
      <c r="I27" s="21"/>
      <c r="J27" s="38"/>
    </row>
    <row r="28">
      <c r="A28" s="30">
        <v>46237.0</v>
      </c>
      <c r="B28" s="13" t="s">
        <v>25</v>
      </c>
      <c r="C28" s="13" t="s">
        <v>26</v>
      </c>
      <c r="D28" s="18">
        <v>140.0</v>
      </c>
      <c r="E28" s="13">
        <v>140.0</v>
      </c>
      <c r="F28" s="35">
        <v>46237.0</v>
      </c>
      <c r="G28" s="13" t="s">
        <v>14</v>
      </c>
      <c r="H28" s="36" t="s">
        <v>17</v>
      </c>
      <c r="I28" s="21"/>
      <c r="J28" s="38"/>
      <c r="P28" s="74">
        <f>SUM(P26-O14)</f>
        <v>1554</v>
      </c>
    </row>
    <row r="29">
      <c r="A29" s="30">
        <v>46237.0</v>
      </c>
      <c r="B29" s="13" t="s">
        <v>158</v>
      </c>
      <c r="C29" s="13" t="s">
        <v>76</v>
      </c>
      <c r="D29" s="18">
        <v>4900.0</v>
      </c>
      <c r="E29" s="13">
        <v>4900.0</v>
      </c>
      <c r="F29" s="35">
        <v>46237.0</v>
      </c>
      <c r="G29" s="13" t="s">
        <v>14</v>
      </c>
      <c r="H29" s="36" t="s">
        <v>17</v>
      </c>
      <c r="I29" s="21"/>
      <c r="J29" s="38"/>
    </row>
    <row r="30">
      <c r="A30" s="30">
        <v>46237.0</v>
      </c>
      <c r="B30" s="13" t="s">
        <v>43</v>
      </c>
      <c r="C30" s="13" t="s">
        <v>159</v>
      </c>
      <c r="D30" s="18">
        <v>38500.0</v>
      </c>
      <c r="E30" s="13">
        <v>38500.0</v>
      </c>
      <c r="F30" s="35">
        <v>46237.0</v>
      </c>
      <c r="G30" s="13" t="s">
        <v>14</v>
      </c>
      <c r="H30" s="36" t="s">
        <v>17</v>
      </c>
      <c r="I30" s="21"/>
      <c r="J30" s="38"/>
    </row>
    <row r="31">
      <c r="A31" s="30">
        <v>46237.0</v>
      </c>
      <c r="B31" s="13" t="s">
        <v>160</v>
      </c>
      <c r="C31" s="21"/>
      <c r="D31" s="18">
        <v>39686.0</v>
      </c>
      <c r="E31" s="13">
        <v>39686.0</v>
      </c>
      <c r="F31" s="35">
        <v>46244.0</v>
      </c>
      <c r="G31" s="13" t="s">
        <v>55</v>
      </c>
      <c r="H31" s="45" t="s">
        <v>42</v>
      </c>
      <c r="I31" s="21"/>
      <c r="J31" s="38"/>
    </row>
    <row r="32">
      <c r="A32" s="124">
        <v>46237.0</v>
      </c>
      <c r="B32" s="7" t="s">
        <v>99</v>
      </c>
      <c r="C32" s="7" t="s">
        <v>163</v>
      </c>
      <c r="D32" s="125">
        <v>1290.0</v>
      </c>
      <c r="E32" s="7">
        <v>1290.0</v>
      </c>
      <c r="F32" s="126">
        <v>46237.0</v>
      </c>
      <c r="G32" s="13" t="s">
        <v>14</v>
      </c>
      <c r="H32" s="36" t="s">
        <v>17</v>
      </c>
      <c r="J32" s="128"/>
    </row>
    <row r="33">
      <c r="A33" s="30">
        <v>46237.0</v>
      </c>
      <c r="B33" s="13" t="s">
        <v>99</v>
      </c>
      <c r="C33" s="13" t="s">
        <v>165</v>
      </c>
      <c r="D33" s="18">
        <v>310.0</v>
      </c>
      <c r="E33" s="13">
        <v>310.0</v>
      </c>
      <c r="F33" s="35">
        <v>46237.0</v>
      </c>
      <c r="G33" s="13" t="s">
        <v>14</v>
      </c>
      <c r="H33" s="36" t="s">
        <v>17</v>
      </c>
      <c r="I33" s="21"/>
      <c r="J33" s="38"/>
    </row>
    <row r="34">
      <c r="A34" s="30">
        <v>46237.0</v>
      </c>
      <c r="B34" s="13" t="s">
        <v>101</v>
      </c>
      <c r="C34" s="81" t="s">
        <v>103</v>
      </c>
      <c r="D34" s="18">
        <v>500.0</v>
      </c>
      <c r="E34" s="13">
        <v>500.0</v>
      </c>
      <c r="F34" s="35">
        <v>46237.0</v>
      </c>
      <c r="G34" s="13" t="s">
        <v>14</v>
      </c>
      <c r="H34" s="36" t="s">
        <v>17</v>
      </c>
      <c r="I34" s="21"/>
      <c r="J34" s="38"/>
    </row>
    <row r="35">
      <c r="A35" s="30">
        <v>46237.0</v>
      </c>
      <c r="B35" s="13" t="s">
        <v>168</v>
      </c>
      <c r="C35" s="13" t="s">
        <v>169</v>
      </c>
      <c r="D35" s="18">
        <v>90.0</v>
      </c>
      <c r="E35" s="13">
        <v>90.0</v>
      </c>
      <c r="F35" s="35">
        <v>46237.0</v>
      </c>
      <c r="G35" s="13" t="s">
        <v>14</v>
      </c>
      <c r="H35" s="36" t="s">
        <v>17</v>
      </c>
      <c r="I35" s="21"/>
      <c r="J35" s="38"/>
    </row>
    <row r="36">
      <c r="A36" s="30">
        <v>46237.0</v>
      </c>
      <c r="B36" s="13" t="s">
        <v>63</v>
      </c>
      <c r="C36" s="13" t="s">
        <v>172</v>
      </c>
      <c r="D36" s="18">
        <v>20100.0</v>
      </c>
      <c r="E36" s="13">
        <v>20100.0</v>
      </c>
      <c r="F36" s="35">
        <v>46237.0</v>
      </c>
      <c r="G36" s="13" t="s">
        <v>14</v>
      </c>
      <c r="H36" s="36" t="s">
        <v>17</v>
      </c>
      <c r="I36" s="21"/>
      <c r="J36" s="38"/>
      <c r="O36" s="7"/>
    </row>
    <row r="37">
      <c r="A37" s="30">
        <v>46237.0</v>
      </c>
      <c r="B37" s="13" t="s">
        <v>38</v>
      </c>
      <c r="C37" s="13" t="s">
        <v>40</v>
      </c>
      <c r="D37" s="18">
        <v>1000.0</v>
      </c>
      <c r="E37" s="13">
        <v>1000.0</v>
      </c>
      <c r="F37" s="35">
        <v>46237.0</v>
      </c>
      <c r="G37" s="13" t="s">
        <v>14</v>
      </c>
      <c r="H37" s="36" t="s">
        <v>17</v>
      </c>
      <c r="I37" s="21"/>
      <c r="J37" s="38"/>
      <c r="O37" s="7"/>
    </row>
    <row r="38">
      <c r="A38" s="30">
        <v>46237.0</v>
      </c>
      <c r="B38" s="13" t="s">
        <v>38</v>
      </c>
      <c r="C38" s="13" t="s">
        <v>175</v>
      </c>
      <c r="D38" s="18">
        <v>1000.0</v>
      </c>
      <c r="E38" s="13">
        <v>1000.0</v>
      </c>
      <c r="F38" s="35">
        <v>46237.0</v>
      </c>
      <c r="G38" s="13" t="s">
        <v>14</v>
      </c>
      <c r="H38" s="36" t="s">
        <v>17</v>
      </c>
      <c r="I38" s="21"/>
      <c r="J38" s="38"/>
      <c r="O38" s="7"/>
    </row>
    <row r="39">
      <c r="A39" s="30">
        <v>46237.0</v>
      </c>
      <c r="B39" s="13" t="s">
        <v>179</v>
      </c>
      <c r="C39" s="13" t="s">
        <v>180</v>
      </c>
      <c r="D39" s="18">
        <v>9400.0</v>
      </c>
      <c r="E39" s="13">
        <v>9400.0</v>
      </c>
      <c r="F39" s="35">
        <v>46237.0</v>
      </c>
      <c r="G39" s="13" t="s">
        <v>55</v>
      </c>
      <c r="H39" s="45" t="s">
        <v>42</v>
      </c>
      <c r="I39" s="21"/>
      <c r="J39" s="38"/>
      <c r="O39" s="7"/>
    </row>
    <row r="40">
      <c r="A40" s="30">
        <v>46237.0</v>
      </c>
      <c r="B40" s="13" t="s">
        <v>182</v>
      </c>
      <c r="C40" s="13" t="s">
        <v>183</v>
      </c>
      <c r="D40" s="18">
        <v>14800.0</v>
      </c>
      <c r="E40" s="13">
        <v>14800.0</v>
      </c>
      <c r="F40" s="35">
        <v>46236.0</v>
      </c>
      <c r="G40" s="13" t="s">
        <v>55</v>
      </c>
      <c r="H40" s="45" t="s">
        <v>42</v>
      </c>
      <c r="I40" s="21"/>
      <c r="J40" s="38"/>
      <c r="O40" s="7" t="s">
        <v>185</v>
      </c>
    </row>
    <row r="41">
      <c r="A41" s="134"/>
      <c r="B41" s="13"/>
      <c r="C41" s="13"/>
      <c r="D41" s="18">
        <v>12360.0</v>
      </c>
      <c r="E41" s="13">
        <v>12360.0</v>
      </c>
      <c r="F41" s="35">
        <v>46241.0</v>
      </c>
      <c r="G41" s="13" t="s">
        <v>55</v>
      </c>
      <c r="H41" s="45" t="s">
        <v>56</v>
      </c>
      <c r="I41" s="13" t="s">
        <v>187</v>
      </c>
      <c r="J41" s="38"/>
      <c r="K41" s="7" t="s">
        <v>188</v>
      </c>
      <c r="M41" s="35">
        <v>46236.0</v>
      </c>
      <c r="N41" s="13" t="s">
        <v>88</v>
      </c>
      <c r="O41" s="45" t="s">
        <v>190</v>
      </c>
    </row>
    <row r="42">
      <c r="A42" s="30">
        <v>46237.0</v>
      </c>
      <c r="B42" s="13" t="s">
        <v>193</v>
      </c>
      <c r="C42" s="13" t="s">
        <v>194</v>
      </c>
      <c r="D42" s="18">
        <v>23400.0</v>
      </c>
      <c r="E42" s="13">
        <v>23400.0</v>
      </c>
      <c r="F42" s="35">
        <v>46241.0</v>
      </c>
      <c r="G42" s="13" t="s">
        <v>55</v>
      </c>
      <c r="H42" s="45" t="s">
        <v>42</v>
      </c>
      <c r="I42" s="21"/>
      <c r="J42" s="38"/>
    </row>
    <row r="43">
      <c r="A43" s="30">
        <v>46237.0</v>
      </c>
      <c r="B43" s="13" t="s">
        <v>33</v>
      </c>
      <c r="C43" s="13" t="s">
        <v>198</v>
      </c>
      <c r="D43" s="18">
        <v>28200.0</v>
      </c>
      <c r="E43" s="13">
        <v>28200.0</v>
      </c>
      <c r="F43" s="35">
        <v>46259.0</v>
      </c>
      <c r="G43" s="13" t="s">
        <v>55</v>
      </c>
      <c r="H43" s="45" t="s">
        <v>42</v>
      </c>
      <c r="I43" s="21"/>
      <c r="J43" s="38"/>
    </row>
    <row r="44">
      <c r="A44" s="30">
        <v>46237.0</v>
      </c>
      <c r="B44" s="13" t="s">
        <v>39</v>
      </c>
      <c r="C44" s="13" t="s">
        <v>199</v>
      </c>
      <c r="D44" s="18">
        <v>75511.0</v>
      </c>
      <c r="E44" s="13">
        <v>75511.0</v>
      </c>
      <c r="F44" s="35">
        <v>46259.0</v>
      </c>
      <c r="G44" s="13" t="s">
        <v>55</v>
      </c>
      <c r="H44" s="45" t="s">
        <v>42</v>
      </c>
      <c r="I44" s="21"/>
      <c r="J44" s="38"/>
    </row>
    <row r="45">
      <c r="A45" s="30">
        <v>46237.0</v>
      </c>
      <c r="B45" s="13" t="s">
        <v>202</v>
      </c>
      <c r="C45" s="13" t="s">
        <v>203</v>
      </c>
      <c r="D45" s="18">
        <v>12000.0</v>
      </c>
      <c r="E45" s="13">
        <v>12000.0</v>
      </c>
      <c r="F45" s="35">
        <v>46242.0</v>
      </c>
      <c r="G45" s="13" t="s">
        <v>55</v>
      </c>
      <c r="H45" s="45" t="s">
        <v>42</v>
      </c>
      <c r="I45" s="21"/>
      <c r="J45" s="38"/>
    </row>
    <row r="46">
      <c r="A46" s="55"/>
      <c r="B46" s="57"/>
      <c r="C46" s="57"/>
      <c r="D46" s="60"/>
      <c r="E46" s="57"/>
      <c r="F46" s="62"/>
      <c r="G46" s="57"/>
      <c r="H46" s="63"/>
      <c r="I46" s="57"/>
      <c r="J46" s="64"/>
    </row>
    <row r="47">
      <c r="A47" s="10">
        <v>46238.0</v>
      </c>
      <c r="B47" s="12" t="s">
        <v>10</v>
      </c>
      <c r="C47" s="14" t="s">
        <v>12</v>
      </c>
      <c r="D47" s="16">
        <v>70.0</v>
      </c>
      <c r="E47" s="17">
        <v>70.0</v>
      </c>
      <c r="F47" s="67">
        <v>46238.0</v>
      </c>
      <c r="G47" s="41" t="s">
        <v>14</v>
      </c>
      <c r="H47" s="69" t="s">
        <v>17</v>
      </c>
      <c r="I47" s="25"/>
      <c r="J47" s="27"/>
    </row>
    <row r="48">
      <c r="A48" s="30">
        <v>46238.0</v>
      </c>
      <c r="B48" s="13" t="s">
        <v>25</v>
      </c>
      <c r="C48" s="13" t="s">
        <v>209</v>
      </c>
      <c r="D48" s="18">
        <v>70.0</v>
      </c>
      <c r="E48" s="33">
        <v>70.0</v>
      </c>
      <c r="F48" s="35">
        <v>46238.0</v>
      </c>
      <c r="G48" s="13" t="s">
        <v>14</v>
      </c>
      <c r="H48" s="36" t="s">
        <v>17</v>
      </c>
      <c r="I48" s="21"/>
      <c r="J48" s="38"/>
    </row>
    <row r="49">
      <c r="A49" s="30">
        <v>46238.0</v>
      </c>
      <c r="B49" s="13" t="s">
        <v>38</v>
      </c>
      <c r="C49" s="13" t="s">
        <v>175</v>
      </c>
      <c r="D49" s="18">
        <v>1000.0</v>
      </c>
      <c r="E49" s="13">
        <v>1000.0</v>
      </c>
      <c r="F49" s="35">
        <v>46238.0</v>
      </c>
      <c r="G49" s="13" t="s">
        <v>14</v>
      </c>
      <c r="H49" s="36" t="s">
        <v>17</v>
      </c>
      <c r="I49" s="21"/>
      <c r="J49" s="38"/>
    </row>
    <row r="50">
      <c r="A50" s="30">
        <v>46238.0</v>
      </c>
      <c r="B50" s="13" t="s">
        <v>101</v>
      </c>
      <c r="C50" s="81" t="s">
        <v>214</v>
      </c>
      <c r="D50" s="18">
        <v>2000.0</v>
      </c>
      <c r="E50" s="13">
        <v>2000.0</v>
      </c>
      <c r="F50" s="35">
        <v>46238.0</v>
      </c>
      <c r="G50" s="13" t="s">
        <v>14</v>
      </c>
      <c r="H50" s="36" t="s">
        <v>17</v>
      </c>
      <c r="I50" s="21"/>
      <c r="J50" s="38"/>
    </row>
    <row r="51">
      <c r="A51" s="30">
        <v>46238.0</v>
      </c>
      <c r="B51" s="13" t="s">
        <v>217</v>
      </c>
      <c r="C51" s="13" t="s">
        <v>218</v>
      </c>
      <c r="D51" s="18">
        <v>225.0</v>
      </c>
      <c r="E51" s="13">
        <v>225.0</v>
      </c>
      <c r="F51" s="35">
        <v>46238.0</v>
      </c>
      <c r="G51" s="13" t="s">
        <v>14</v>
      </c>
      <c r="H51" s="36" t="s">
        <v>17</v>
      </c>
      <c r="I51" s="21"/>
      <c r="J51" s="38"/>
    </row>
    <row r="52">
      <c r="A52" s="30">
        <v>46238.0</v>
      </c>
      <c r="B52" s="13" t="s">
        <v>221</v>
      </c>
      <c r="C52" s="13" t="s">
        <v>222</v>
      </c>
      <c r="D52" s="18">
        <v>3180.0</v>
      </c>
      <c r="E52" s="13">
        <v>3180.0</v>
      </c>
      <c r="F52" s="35">
        <v>46244.0</v>
      </c>
      <c r="G52" s="13" t="s">
        <v>55</v>
      </c>
      <c r="H52" s="45" t="s">
        <v>42</v>
      </c>
      <c r="I52" s="21"/>
      <c r="J52" s="38"/>
    </row>
    <row r="53">
      <c r="A53" s="30">
        <v>46238.0</v>
      </c>
      <c r="B53" s="13" t="s">
        <v>225</v>
      </c>
      <c r="C53" s="13" t="s">
        <v>226</v>
      </c>
      <c r="D53" s="18">
        <v>10300.0</v>
      </c>
      <c r="E53" s="13">
        <v>10300.0</v>
      </c>
      <c r="F53" s="35">
        <v>46238.0</v>
      </c>
      <c r="G53" s="13" t="s">
        <v>55</v>
      </c>
      <c r="H53" s="45" t="s">
        <v>42</v>
      </c>
      <c r="I53" s="13" t="s">
        <v>228</v>
      </c>
      <c r="J53" s="38"/>
    </row>
    <row r="54">
      <c r="A54" s="30">
        <v>46238.0</v>
      </c>
      <c r="B54" s="13" t="s">
        <v>230</v>
      </c>
      <c r="C54" s="13" t="s">
        <v>233</v>
      </c>
      <c r="D54" s="18">
        <v>26720.0</v>
      </c>
      <c r="E54" s="13">
        <v>26720.0</v>
      </c>
      <c r="F54" s="35">
        <v>46238.0</v>
      </c>
      <c r="G54" s="13" t="s">
        <v>55</v>
      </c>
      <c r="H54" s="45" t="s">
        <v>42</v>
      </c>
      <c r="I54" s="13" t="s">
        <v>234</v>
      </c>
      <c r="J54" s="38"/>
    </row>
    <row r="55">
      <c r="A55" s="30">
        <v>46238.0</v>
      </c>
      <c r="B55" s="13" t="s">
        <v>225</v>
      </c>
      <c r="C55" s="13" t="s">
        <v>238</v>
      </c>
      <c r="D55" s="18">
        <v>4300.0</v>
      </c>
      <c r="E55" s="13">
        <v>4300.0</v>
      </c>
      <c r="F55" s="35">
        <v>46238.0</v>
      </c>
      <c r="G55" s="13" t="s">
        <v>55</v>
      </c>
      <c r="H55" s="45" t="s">
        <v>42</v>
      </c>
      <c r="I55" s="21"/>
      <c r="J55" s="38"/>
    </row>
    <row r="56">
      <c r="A56" s="55"/>
      <c r="B56" s="57"/>
      <c r="C56" s="57"/>
      <c r="D56" s="60"/>
      <c r="E56" s="57"/>
      <c r="F56" s="62"/>
      <c r="G56" s="97"/>
      <c r="H56" s="63"/>
      <c r="I56" s="57"/>
      <c r="J56" s="64"/>
    </row>
    <row r="57">
      <c r="A57" s="10">
        <v>46239.0</v>
      </c>
      <c r="B57" s="12" t="s">
        <v>10</v>
      </c>
      <c r="C57" s="14" t="s">
        <v>12</v>
      </c>
      <c r="D57" s="16">
        <v>70.0</v>
      </c>
      <c r="E57" s="17">
        <v>70.0</v>
      </c>
      <c r="F57" s="67">
        <v>46239.0</v>
      </c>
      <c r="G57" s="95" t="s">
        <v>14</v>
      </c>
      <c r="H57" s="69" t="s">
        <v>17</v>
      </c>
      <c r="I57" s="25"/>
      <c r="J57" s="27"/>
    </row>
    <row r="58">
      <c r="A58" s="30">
        <v>46239.0</v>
      </c>
      <c r="B58" s="13" t="s">
        <v>25</v>
      </c>
      <c r="C58" s="13" t="s">
        <v>209</v>
      </c>
      <c r="D58" s="18">
        <v>70.0</v>
      </c>
      <c r="E58" s="33">
        <v>70.0</v>
      </c>
      <c r="F58" s="35">
        <v>46239.0</v>
      </c>
      <c r="G58" s="13" t="s">
        <v>14</v>
      </c>
      <c r="H58" s="36" t="s">
        <v>17</v>
      </c>
      <c r="I58" s="21"/>
      <c r="J58" s="38"/>
    </row>
    <row r="59">
      <c r="A59" s="30">
        <v>46239.0</v>
      </c>
      <c r="B59" s="13" t="s">
        <v>101</v>
      </c>
      <c r="C59" s="81" t="s">
        <v>245</v>
      </c>
      <c r="D59" s="18">
        <v>1000.0</v>
      </c>
      <c r="E59" s="13">
        <v>1000.0</v>
      </c>
      <c r="F59" s="35">
        <v>46239.0</v>
      </c>
      <c r="G59" s="13" t="s">
        <v>14</v>
      </c>
      <c r="H59" s="36" t="s">
        <v>17</v>
      </c>
      <c r="I59" s="21"/>
      <c r="J59" s="38"/>
    </row>
    <row r="60">
      <c r="A60" s="30">
        <v>46239.0</v>
      </c>
      <c r="B60" s="13" t="s">
        <v>248</v>
      </c>
      <c r="C60" s="13" t="s">
        <v>249</v>
      </c>
      <c r="D60" s="18">
        <v>40.0</v>
      </c>
      <c r="E60" s="13">
        <v>40.0</v>
      </c>
      <c r="F60" s="35">
        <v>46239.0</v>
      </c>
      <c r="G60" s="13" t="s">
        <v>14</v>
      </c>
      <c r="H60" s="36" t="s">
        <v>17</v>
      </c>
      <c r="I60" s="21"/>
      <c r="J60" s="38"/>
      <c r="K60" s="7">
        <v>1200.0</v>
      </c>
    </row>
    <row r="61">
      <c r="A61" s="30">
        <v>46239.0</v>
      </c>
      <c r="B61" s="13" t="s">
        <v>38</v>
      </c>
      <c r="C61" s="13" t="s">
        <v>40</v>
      </c>
      <c r="D61" s="18">
        <v>1000.0</v>
      </c>
      <c r="E61" s="13">
        <v>1000.0</v>
      </c>
      <c r="F61" s="35">
        <v>46239.0</v>
      </c>
      <c r="G61" s="13" t="s">
        <v>14</v>
      </c>
      <c r="H61" s="36" t="s">
        <v>17</v>
      </c>
      <c r="I61" s="21"/>
      <c r="J61" s="38"/>
      <c r="K61" s="7"/>
    </row>
    <row r="62">
      <c r="A62" s="30">
        <v>46239.0</v>
      </c>
      <c r="B62" s="13" t="s">
        <v>38</v>
      </c>
      <c r="C62" s="13" t="s">
        <v>111</v>
      </c>
      <c r="D62" s="18">
        <v>1500.0</v>
      </c>
      <c r="E62" s="13">
        <v>1500.0</v>
      </c>
      <c r="F62" s="35">
        <v>46239.0</v>
      </c>
      <c r="G62" s="13" t="s">
        <v>14</v>
      </c>
      <c r="H62" s="36" t="s">
        <v>17</v>
      </c>
      <c r="I62" s="21"/>
      <c r="J62" s="38"/>
      <c r="K62" s="7"/>
    </row>
    <row r="63">
      <c r="A63" s="30">
        <v>46239.0</v>
      </c>
      <c r="B63" s="13" t="s">
        <v>225</v>
      </c>
      <c r="C63" s="13" t="s">
        <v>254</v>
      </c>
      <c r="D63" s="18">
        <v>1140.0</v>
      </c>
      <c r="E63" s="13">
        <v>1140.0</v>
      </c>
      <c r="F63" s="35">
        <v>46241.0</v>
      </c>
      <c r="G63" s="13" t="s">
        <v>55</v>
      </c>
      <c r="H63" s="45" t="s">
        <v>42</v>
      </c>
      <c r="I63" s="21"/>
      <c r="J63" s="38"/>
    </row>
    <row r="64">
      <c r="A64" s="30">
        <v>46239.0</v>
      </c>
      <c r="B64" s="13" t="s">
        <v>225</v>
      </c>
      <c r="C64" s="13" t="s">
        <v>255</v>
      </c>
      <c r="D64" s="18">
        <v>3080.0</v>
      </c>
      <c r="E64" s="13">
        <v>3080.0</v>
      </c>
      <c r="F64" s="35">
        <v>46239.0</v>
      </c>
      <c r="G64" s="13" t="s">
        <v>55</v>
      </c>
      <c r="H64" s="45" t="s">
        <v>42</v>
      </c>
      <c r="I64" s="21"/>
      <c r="J64" s="38"/>
    </row>
    <row r="65">
      <c r="A65" s="30">
        <v>46239.0</v>
      </c>
      <c r="B65" s="13" t="s">
        <v>260</v>
      </c>
      <c r="C65" s="13" t="s">
        <v>261</v>
      </c>
      <c r="D65" s="18">
        <v>990.0</v>
      </c>
      <c r="E65" s="13">
        <v>990.0</v>
      </c>
      <c r="F65" s="35">
        <v>46239.0</v>
      </c>
      <c r="G65" s="13" t="s">
        <v>14</v>
      </c>
      <c r="H65" s="36" t="s">
        <v>17</v>
      </c>
      <c r="I65" s="21"/>
      <c r="J65" s="38"/>
    </row>
    <row r="66">
      <c r="A66" s="30">
        <v>46239.0</v>
      </c>
      <c r="B66" s="13" t="s">
        <v>52</v>
      </c>
      <c r="C66" s="13" t="s">
        <v>263</v>
      </c>
      <c r="D66" s="18">
        <v>22200.0</v>
      </c>
      <c r="E66" s="13">
        <v>22000.0</v>
      </c>
      <c r="F66" s="35">
        <v>46244.0</v>
      </c>
      <c r="G66" s="13" t="s">
        <v>55</v>
      </c>
      <c r="H66" s="45" t="s">
        <v>42</v>
      </c>
      <c r="I66" s="21"/>
      <c r="J66" s="38"/>
    </row>
    <row r="67">
      <c r="A67" s="151">
        <v>46239.0</v>
      </c>
      <c r="B67" s="88" t="s">
        <v>50</v>
      </c>
      <c r="C67" s="88" t="s">
        <v>265</v>
      </c>
      <c r="D67" s="91">
        <v>140.0</v>
      </c>
      <c r="E67" s="88">
        <v>140.0</v>
      </c>
      <c r="F67" s="154">
        <v>46239.0</v>
      </c>
      <c r="G67" s="88" t="s">
        <v>14</v>
      </c>
      <c r="H67" s="155" t="s">
        <v>17</v>
      </c>
      <c r="I67" s="57"/>
      <c r="J67" s="64"/>
    </row>
    <row r="68">
      <c r="A68" s="10">
        <v>46240.0</v>
      </c>
      <c r="B68" s="12" t="s">
        <v>10</v>
      </c>
      <c r="C68" s="14" t="s">
        <v>12</v>
      </c>
      <c r="D68" s="16">
        <v>70.0</v>
      </c>
      <c r="E68" s="17">
        <v>70.0</v>
      </c>
      <c r="F68" s="67">
        <v>46240.0</v>
      </c>
      <c r="G68" s="41" t="s">
        <v>14</v>
      </c>
      <c r="H68" s="69" t="s">
        <v>17</v>
      </c>
      <c r="I68" s="25"/>
      <c r="J68" s="27"/>
    </row>
    <row r="69">
      <c r="A69" s="30">
        <v>46240.0</v>
      </c>
      <c r="B69" s="13" t="s">
        <v>25</v>
      </c>
      <c r="C69" s="13" t="s">
        <v>26</v>
      </c>
      <c r="D69" s="18">
        <v>140.0</v>
      </c>
      <c r="E69" s="33">
        <v>140.0</v>
      </c>
      <c r="F69" s="35">
        <v>46240.0</v>
      </c>
      <c r="G69" s="13" t="s">
        <v>14</v>
      </c>
      <c r="H69" s="36" t="s">
        <v>17</v>
      </c>
      <c r="I69" s="21"/>
      <c r="J69" s="38"/>
    </row>
    <row r="70">
      <c r="A70" s="30">
        <v>46240.0</v>
      </c>
      <c r="B70" s="13" t="s">
        <v>248</v>
      </c>
      <c r="C70" s="13" t="s">
        <v>273</v>
      </c>
      <c r="D70" s="18">
        <v>490.0</v>
      </c>
      <c r="E70" s="13">
        <v>490.0</v>
      </c>
      <c r="F70" s="35">
        <v>46240.0</v>
      </c>
      <c r="G70" s="13" t="s">
        <v>14</v>
      </c>
      <c r="H70" s="36" t="s">
        <v>17</v>
      </c>
      <c r="I70" s="21"/>
      <c r="J70" s="38"/>
    </row>
    <row r="71">
      <c r="A71" s="30">
        <v>46240.0</v>
      </c>
      <c r="B71" s="13" t="s">
        <v>260</v>
      </c>
      <c r="C71" s="13" t="s">
        <v>274</v>
      </c>
      <c r="D71" s="18">
        <v>1486.0</v>
      </c>
      <c r="E71" s="13">
        <v>1486.0</v>
      </c>
      <c r="F71" s="35">
        <v>46240.0</v>
      </c>
      <c r="G71" s="13" t="s">
        <v>14</v>
      </c>
      <c r="H71" s="36" t="s">
        <v>17</v>
      </c>
      <c r="I71" s="21"/>
      <c r="J71" s="38"/>
    </row>
    <row r="72">
      <c r="A72" s="30">
        <v>46240.0</v>
      </c>
      <c r="B72" s="13" t="s">
        <v>50</v>
      </c>
      <c r="C72" s="13" t="s">
        <v>277</v>
      </c>
      <c r="D72" s="18">
        <v>80.0</v>
      </c>
      <c r="E72" s="13">
        <v>80.0</v>
      </c>
      <c r="F72" s="35">
        <v>46240.0</v>
      </c>
      <c r="G72" s="13" t="s">
        <v>14</v>
      </c>
      <c r="H72" s="36" t="s">
        <v>17</v>
      </c>
      <c r="I72" s="21"/>
      <c r="J72" s="38"/>
    </row>
    <row r="73">
      <c r="A73" s="30">
        <v>46240.0</v>
      </c>
      <c r="B73" s="13" t="s">
        <v>68</v>
      </c>
      <c r="C73" s="13" t="s">
        <v>281</v>
      </c>
      <c r="D73" s="18">
        <v>4030.0</v>
      </c>
      <c r="E73" s="13">
        <v>4030.0</v>
      </c>
      <c r="F73" s="35">
        <v>46239.0</v>
      </c>
      <c r="G73" s="13" t="s">
        <v>55</v>
      </c>
      <c r="H73" s="45" t="s">
        <v>42</v>
      </c>
      <c r="I73" s="21"/>
      <c r="J73" s="38"/>
    </row>
    <row r="74">
      <c r="A74" s="30">
        <v>46240.0</v>
      </c>
      <c r="B74" s="13" t="s">
        <v>230</v>
      </c>
      <c r="C74" s="13" t="s">
        <v>283</v>
      </c>
      <c r="D74" s="18">
        <v>100000.0</v>
      </c>
      <c r="E74" s="13">
        <v>100000.0</v>
      </c>
      <c r="F74" s="35">
        <v>46240.0</v>
      </c>
      <c r="G74" s="13" t="s">
        <v>55</v>
      </c>
      <c r="H74" s="45" t="s">
        <v>42</v>
      </c>
      <c r="I74" s="21"/>
      <c r="J74" s="38"/>
    </row>
    <row r="75">
      <c r="A75" s="30">
        <v>46240.0</v>
      </c>
      <c r="B75" s="13" t="s">
        <v>38</v>
      </c>
      <c r="C75" s="13" t="s">
        <v>111</v>
      </c>
      <c r="D75" s="18">
        <v>1000.0</v>
      </c>
      <c r="E75" s="13">
        <v>1000.0</v>
      </c>
      <c r="F75" s="35">
        <v>46240.0</v>
      </c>
      <c r="G75" s="13" t="s">
        <v>14</v>
      </c>
      <c r="H75" s="36" t="s">
        <v>17</v>
      </c>
      <c r="I75" s="21"/>
      <c r="J75" s="38"/>
    </row>
    <row r="76">
      <c r="A76" s="30">
        <v>46240.0</v>
      </c>
      <c r="B76" s="13" t="s">
        <v>290</v>
      </c>
      <c r="C76" s="13" t="s">
        <v>291</v>
      </c>
      <c r="D76" s="18">
        <v>3398.0</v>
      </c>
      <c r="E76" s="13">
        <v>3398.0</v>
      </c>
      <c r="F76" s="35">
        <v>46240.0</v>
      </c>
      <c r="G76" s="13" t="s">
        <v>55</v>
      </c>
      <c r="H76" s="45" t="s">
        <v>42</v>
      </c>
      <c r="I76" s="21"/>
      <c r="J76" s="38"/>
    </row>
    <row r="77">
      <c r="A77" s="30">
        <v>46240.0</v>
      </c>
      <c r="B77" s="13" t="s">
        <v>43</v>
      </c>
      <c r="C77" s="13" t="s">
        <v>296</v>
      </c>
      <c r="D77" s="18">
        <v>38500.0</v>
      </c>
      <c r="E77" s="13">
        <v>38500.0</v>
      </c>
      <c r="F77" s="35">
        <v>46244.0</v>
      </c>
      <c r="G77" s="13" t="s">
        <v>55</v>
      </c>
      <c r="H77" s="45" t="s">
        <v>42</v>
      </c>
      <c r="I77" s="21"/>
      <c r="J77" s="38"/>
    </row>
    <row r="78">
      <c r="A78" s="30">
        <v>46240.0</v>
      </c>
      <c r="B78" s="13" t="s">
        <v>63</v>
      </c>
      <c r="C78" s="13" t="s">
        <v>300</v>
      </c>
      <c r="D78" s="18">
        <v>14000.0</v>
      </c>
      <c r="E78" s="13">
        <v>14000.0</v>
      </c>
      <c r="F78" s="35">
        <v>46240.0</v>
      </c>
      <c r="G78" s="13" t="s">
        <v>14</v>
      </c>
      <c r="H78" s="36" t="s">
        <v>17</v>
      </c>
      <c r="I78" s="21"/>
      <c r="J78" s="38"/>
    </row>
    <row r="79">
      <c r="A79" s="30">
        <v>46240.0</v>
      </c>
      <c r="B79" s="13" t="s">
        <v>101</v>
      </c>
      <c r="C79" s="81" t="s">
        <v>304</v>
      </c>
      <c r="D79" s="18">
        <v>1500.0</v>
      </c>
      <c r="E79" s="13">
        <v>1500.0</v>
      </c>
      <c r="F79" s="35">
        <v>46240.0</v>
      </c>
      <c r="G79" s="13" t="s">
        <v>14</v>
      </c>
      <c r="H79" s="36" t="s">
        <v>17</v>
      </c>
      <c r="I79" s="21"/>
      <c r="J79" s="38"/>
    </row>
    <row r="80">
      <c r="A80" s="55"/>
      <c r="B80" s="57"/>
      <c r="C80" s="57"/>
      <c r="D80" s="60"/>
      <c r="E80" s="57"/>
      <c r="F80" s="62"/>
      <c r="G80" s="97"/>
      <c r="H80" s="63"/>
      <c r="I80" s="57"/>
      <c r="J80" s="64"/>
    </row>
    <row r="81">
      <c r="A81" s="10">
        <v>46241.0</v>
      </c>
      <c r="B81" s="13" t="s">
        <v>230</v>
      </c>
      <c r="C81" s="95" t="s">
        <v>309</v>
      </c>
      <c r="D81" s="16">
        <v>35000.0</v>
      </c>
      <c r="E81" s="149">
        <v>35000.0</v>
      </c>
      <c r="F81" s="67">
        <v>46241.0</v>
      </c>
      <c r="G81" s="95" t="s">
        <v>55</v>
      </c>
      <c r="H81" s="105" t="s">
        <v>42</v>
      </c>
      <c r="I81" s="25"/>
      <c r="J81" s="27"/>
    </row>
    <row r="82">
      <c r="A82" s="162">
        <v>46241.0</v>
      </c>
      <c r="B82" s="116" t="s">
        <v>10</v>
      </c>
      <c r="C82" s="163" t="s">
        <v>315</v>
      </c>
      <c r="D82" s="18">
        <v>140.0</v>
      </c>
      <c r="E82" s="13">
        <v>140.0</v>
      </c>
      <c r="F82" s="35">
        <v>46241.0</v>
      </c>
      <c r="G82" s="13" t="s">
        <v>14</v>
      </c>
      <c r="H82" s="36" t="s">
        <v>17</v>
      </c>
      <c r="I82" s="21"/>
      <c r="J82" s="38"/>
    </row>
    <row r="83">
      <c r="A83" s="30">
        <v>46241.0</v>
      </c>
      <c r="B83" s="13" t="s">
        <v>160</v>
      </c>
      <c r="C83" s="13" t="s">
        <v>322</v>
      </c>
      <c r="D83" s="18">
        <v>21500.0</v>
      </c>
      <c r="E83" s="13">
        <v>21500.0</v>
      </c>
      <c r="F83" s="35">
        <v>46244.0</v>
      </c>
      <c r="G83" s="13" t="s">
        <v>55</v>
      </c>
      <c r="H83" s="45" t="s">
        <v>42</v>
      </c>
      <c r="I83" s="21"/>
      <c r="J83" s="38"/>
    </row>
    <row r="84">
      <c r="A84" s="30">
        <v>46241.0</v>
      </c>
      <c r="B84" s="13" t="s">
        <v>217</v>
      </c>
      <c r="C84" s="13" t="s">
        <v>326</v>
      </c>
      <c r="D84" s="18">
        <v>6135.0</v>
      </c>
      <c r="E84" s="13">
        <v>6135.0</v>
      </c>
      <c r="F84" s="35">
        <v>46242.0</v>
      </c>
      <c r="G84" s="13" t="s">
        <v>55</v>
      </c>
      <c r="H84" s="45" t="s">
        <v>42</v>
      </c>
      <c r="I84" s="13" t="s">
        <v>329</v>
      </c>
      <c r="J84" s="38"/>
    </row>
    <row r="85">
      <c r="A85" s="30">
        <v>46241.0</v>
      </c>
      <c r="B85" s="13" t="s">
        <v>217</v>
      </c>
      <c r="C85" s="13" t="s">
        <v>330</v>
      </c>
      <c r="D85" s="18">
        <v>4800.0</v>
      </c>
      <c r="E85" s="13">
        <v>4800.0</v>
      </c>
      <c r="F85" s="35">
        <v>46242.0</v>
      </c>
      <c r="G85" s="13" t="s">
        <v>55</v>
      </c>
      <c r="H85" s="45" t="s">
        <v>42</v>
      </c>
      <c r="I85" s="13" t="s">
        <v>329</v>
      </c>
      <c r="J85" s="38"/>
    </row>
    <row r="86">
      <c r="A86" s="30">
        <v>46241.0</v>
      </c>
      <c r="B86" s="13" t="s">
        <v>334</v>
      </c>
      <c r="C86" s="13" t="s">
        <v>336</v>
      </c>
      <c r="D86" s="18">
        <v>60.0</v>
      </c>
      <c r="E86" s="13">
        <v>60.0</v>
      </c>
      <c r="F86" s="35">
        <v>46241.0</v>
      </c>
      <c r="G86" s="13" t="s">
        <v>14</v>
      </c>
      <c r="H86" s="36" t="s">
        <v>17</v>
      </c>
      <c r="I86" s="21"/>
      <c r="J86" s="38"/>
    </row>
    <row r="87">
      <c r="A87" s="30">
        <v>46241.0</v>
      </c>
      <c r="B87" s="13" t="s">
        <v>38</v>
      </c>
      <c r="C87" s="13" t="s">
        <v>40</v>
      </c>
      <c r="D87" s="18">
        <v>1000.0</v>
      </c>
      <c r="E87" s="13">
        <v>1000.0</v>
      </c>
      <c r="F87" s="35">
        <v>46241.0</v>
      </c>
      <c r="G87" s="13" t="s">
        <v>14</v>
      </c>
      <c r="H87" s="36" t="s">
        <v>17</v>
      </c>
      <c r="I87" s="21"/>
      <c r="J87" s="38"/>
    </row>
    <row r="88">
      <c r="A88" s="30">
        <v>46241.0</v>
      </c>
      <c r="B88" s="13" t="s">
        <v>38</v>
      </c>
      <c r="C88" s="13" t="s">
        <v>111</v>
      </c>
      <c r="D88" s="18">
        <v>1000.0</v>
      </c>
      <c r="E88" s="13">
        <v>1000.0</v>
      </c>
      <c r="F88" s="35">
        <v>46241.0</v>
      </c>
      <c r="G88" s="13" t="s">
        <v>14</v>
      </c>
      <c r="H88" s="36" t="s">
        <v>17</v>
      </c>
      <c r="I88" s="21"/>
      <c r="J88" s="38"/>
    </row>
    <row r="89">
      <c r="A89" s="30">
        <v>46241.0</v>
      </c>
      <c r="B89" s="13" t="s">
        <v>50</v>
      </c>
      <c r="C89" s="13" t="s">
        <v>344</v>
      </c>
      <c r="D89" s="18">
        <v>1505.0</v>
      </c>
      <c r="E89" s="13">
        <v>1505.0</v>
      </c>
      <c r="F89" s="35">
        <v>46241.0</v>
      </c>
      <c r="G89" s="13" t="s">
        <v>14</v>
      </c>
      <c r="H89" s="36" t="s">
        <v>17</v>
      </c>
      <c r="I89" s="21"/>
      <c r="J89" s="38"/>
    </row>
    <row r="90">
      <c r="A90" s="30">
        <v>46241.0</v>
      </c>
      <c r="B90" s="13" t="s">
        <v>101</v>
      </c>
      <c r="C90" s="81" t="s">
        <v>103</v>
      </c>
      <c r="D90" s="18">
        <v>500.0</v>
      </c>
      <c r="E90" s="13">
        <v>500.0</v>
      </c>
      <c r="F90" s="35">
        <v>46241.0</v>
      </c>
      <c r="G90" s="13" t="s">
        <v>14</v>
      </c>
      <c r="H90" s="36" t="s">
        <v>17</v>
      </c>
      <c r="I90" s="21"/>
      <c r="J90" s="38"/>
    </row>
    <row r="91">
      <c r="A91" s="55"/>
      <c r="B91" s="57"/>
      <c r="C91" s="57"/>
      <c r="D91" s="60"/>
      <c r="E91" s="64"/>
      <c r="F91" s="62"/>
      <c r="G91" s="57"/>
      <c r="H91" s="63"/>
      <c r="I91" s="57"/>
      <c r="J91" s="64"/>
    </row>
    <row r="92">
      <c r="A92" s="10">
        <v>46242.0</v>
      </c>
      <c r="B92" s="12" t="s">
        <v>10</v>
      </c>
      <c r="C92" s="14" t="s">
        <v>12</v>
      </c>
      <c r="D92" s="16">
        <v>70.0</v>
      </c>
      <c r="E92" s="16">
        <v>70.0</v>
      </c>
      <c r="F92" s="67">
        <v>46242.0</v>
      </c>
      <c r="G92" s="41" t="s">
        <v>14</v>
      </c>
      <c r="H92" s="69" t="s">
        <v>17</v>
      </c>
      <c r="I92" s="25"/>
      <c r="J92" s="27"/>
    </row>
    <row r="93">
      <c r="A93" s="30">
        <v>46242.0</v>
      </c>
      <c r="B93" s="13" t="s">
        <v>25</v>
      </c>
      <c r="C93" s="13" t="s">
        <v>26</v>
      </c>
      <c r="D93" s="18">
        <v>140.0</v>
      </c>
      <c r="E93" s="18">
        <v>140.0</v>
      </c>
      <c r="F93" s="35">
        <v>46242.0</v>
      </c>
      <c r="G93" s="13" t="s">
        <v>14</v>
      </c>
      <c r="H93" s="36" t="s">
        <v>17</v>
      </c>
      <c r="I93" s="21"/>
      <c r="J93" s="38"/>
    </row>
    <row r="94">
      <c r="A94" s="30">
        <v>46242.0</v>
      </c>
      <c r="B94" s="13" t="s">
        <v>101</v>
      </c>
      <c r="C94" s="81" t="s">
        <v>103</v>
      </c>
      <c r="D94" s="18">
        <v>500.0</v>
      </c>
      <c r="E94" s="18">
        <v>500.0</v>
      </c>
      <c r="F94" s="35">
        <v>46242.0</v>
      </c>
      <c r="G94" s="13" t="s">
        <v>14</v>
      </c>
      <c r="H94" s="36" t="s">
        <v>17</v>
      </c>
      <c r="I94" s="21"/>
      <c r="J94" s="38"/>
    </row>
    <row r="95">
      <c r="A95" s="44">
        <v>46242.0</v>
      </c>
      <c r="B95" s="13" t="s">
        <v>50</v>
      </c>
      <c r="C95" s="13" t="s">
        <v>359</v>
      </c>
      <c r="D95" s="18">
        <v>1210.0</v>
      </c>
      <c r="E95" s="18">
        <v>1210.0</v>
      </c>
      <c r="F95" s="44">
        <v>46242.0</v>
      </c>
      <c r="G95" s="13" t="s">
        <v>14</v>
      </c>
      <c r="H95" s="76" t="s">
        <v>17</v>
      </c>
      <c r="I95" s="21"/>
      <c r="J95" s="21"/>
    </row>
    <row r="96">
      <c r="A96" s="44">
        <v>46242.0</v>
      </c>
      <c r="B96" s="13" t="s">
        <v>364</v>
      </c>
      <c r="C96" s="13" t="s">
        <v>76</v>
      </c>
      <c r="D96" s="18">
        <v>4900.0</v>
      </c>
      <c r="E96" s="18">
        <v>4900.0</v>
      </c>
      <c r="F96" s="44">
        <v>46242.0</v>
      </c>
      <c r="G96" s="13" t="s">
        <v>14</v>
      </c>
      <c r="H96" s="76" t="s">
        <v>17</v>
      </c>
      <c r="I96" s="21"/>
      <c r="J96" s="21"/>
    </row>
    <row r="97">
      <c r="A97" s="151">
        <v>46242.0</v>
      </c>
      <c r="B97" s="13" t="s">
        <v>52</v>
      </c>
      <c r="C97" s="88" t="s">
        <v>370</v>
      </c>
      <c r="D97" s="91">
        <v>36980.0</v>
      </c>
      <c r="E97" s="88">
        <v>36980.0</v>
      </c>
      <c r="F97" s="154">
        <v>46254.0</v>
      </c>
      <c r="G97" s="88" t="s">
        <v>55</v>
      </c>
      <c r="H97" s="45" t="s">
        <v>56</v>
      </c>
      <c r="I97" s="57"/>
      <c r="J97" s="64"/>
    </row>
    <row r="98">
      <c r="A98" s="162">
        <v>46243.0</v>
      </c>
      <c r="B98" s="41" t="s">
        <v>378</v>
      </c>
      <c r="C98" s="41" t="s">
        <v>380</v>
      </c>
      <c r="D98" s="108">
        <v>249.92</v>
      </c>
      <c r="E98" s="41">
        <v>249.92</v>
      </c>
      <c r="F98" s="175">
        <v>46243.0</v>
      </c>
      <c r="G98" s="41" t="s">
        <v>55</v>
      </c>
      <c r="H98" s="176" t="s">
        <v>42</v>
      </c>
      <c r="I98" s="107"/>
      <c r="J98" s="46"/>
    </row>
    <row r="99">
      <c r="A99" s="30">
        <v>46243.0</v>
      </c>
      <c r="B99" s="116" t="s">
        <v>10</v>
      </c>
      <c r="C99" s="117" t="s">
        <v>12</v>
      </c>
      <c r="D99" s="18">
        <v>70.0</v>
      </c>
      <c r="E99" s="18">
        <v>70.0</v>
      </c>
      <c r="F99" s="35">
        <v>46243.0</v>
      </c>
      <c r="G99" s="13" t="s">
        <v>14</v>
      </c>
      <c r="H99" s="36" t="s">
        <v>17</v>
      </c>
      <c r="I99" s="21"/>
      <c r="J99" s="38"/>
    </row>
    <row r="100">
      <c r="A100" s="30">
        <v>46243.0</v>
      </c>
      <c r="B100" s="13" t="s">
        <v>25</v>
      </c>
      <c r="C100" s="13" t="s">
        <v>89</v>
      </c>
      <c r="D100" s="18">
        <v>105.0</v>
      </c>
      <c r="E100" s="18">
        <v>105.0</v>
      </c>
      <c r="F100" s="35">
        <v>46243.0</v>
      </c>
      <c r="G100" s="13" t="s">
        <v>14</v>
      </c>
      <c r="H100" s="36" t="s">
        <v>17</v>
      </c>
      <c r="I100" s="21"/>
      <c r="J100" s="38"/>
    </row>
    <row r="101">
      <c r="A101" s="30">
        <v>46243.0</v>
      </c>
      <c r="B101" s="13" t="s">
        <v>50</v>
      </c>
      <c r="C101" s="13" t="s">
        <v>400</v>
      </c>
      <c r="D101" s="18">
        <v>347.0</v>
      </c>
      <c r="E101" s="18">
        <v>347.0</v>
      </c>
      <c r="F101" s="35">
        <v>46243.0</v>
      </c>
      <c r="G101" s="13" t="s">
        <v>14</v>
      </c>
      <c r="H101" s="36" t="s">
        <v>17</v>
      </c>
      <c r="I101" s="21"/>
      <c r="J101" s="38"/>
    </row>
    <row r="102">
      <c r="A102" s="30">
        <v>46243.0</v>
      </c>
      <c r="B102" s="13" t="s">
        <v>405</v>
      </c>
      <c r="C102" s="13" t="s">
        <v>406</v>
      </c>
      <c r="D102" s="18">
        <v>3100.0</v>
      </c>
      <c r="E102" s="18">
        <v>3100.0</v>
      </c>
      <c r="F102" s="35">
        <v>46244.0</v>
      </c>
      <c r="G102" s="13" t="s">
        <v>55</v>
      </c>
      <c r="H102" s="45" t="s">
        <v>42</v>
      </c>
      <c r="I102" s="21"/>
      <c r="J102" s="38"/>
    </row>
    <row r="103">
      <c r="A103" s="30">
        <v>46243.0</v>
      </c>
      <c r="B103" s="13" t="s">
        <v>401</v>
      </c>
      <c r="C103" s="13" t="s">
        <v>409</v>
      </c>
      <c r="D103" s="18">
        <v>9100.0</v>
      </c>
      <c r="E103" s="18">
        <v>9100.0</v>
      </c>
      <c r="F103" s="35">
        <v>46243.0</v>
      </c>
      <c r="G103" s="13" t="s">
        <v>14</v>
      </c>
      <c r="H103" s="36" t="s">
        <v>17</v>
      </c>
      <c r="I103" s="21"/>
      <c r="J103" s="38"/>
    </row>
    <row r="104">
      <c r="A104" s="30">
        <v>46243.0</v>
      </c>
      <c r="B104" s="13" t="s">
        <v>217</v>
      </c>
      <c r="C104" s="13" t="s">
        <v>414</v>
      </c>
      <c r="D104" s="18">
        <v>15000.0</v>
      </c>
      <c r="E104" s="18">
        <v>15000.0</v>
      </c>
      <c r="F104" s="35">
        <v>46243.0</v>
      </c>
      <c r="G104" s="13" t="s">
        <v>14</v>
      </c>
      <c r="H104" s="36" t="s">
        <v>17</v>
      </c>
      <c r="I104" s="21"/>
      <c r="J104" s="38"/>
    </row>
    <row r="105">
      <c r="A105" s="30">
        <v>46243.0</v>
      </c>
      <c r="B105" s="13" t="s">
        <v>217</v>
      </c>
      <c r="C105" s="13" t="s">
        <v>218</v>
      </c>
      <c r="D105" s="18">
        <v>360.0</v>
      </c>
      <c r="E105" s="18">
        <v>360.0</v>
      </c>
      <c r="F105" s="35">
        <v>46243.0</v>
      </c>
      <c r="G105" s="13" t="s">
        <v>14</v>
      </c>
      <c r="H105" s="36" t="s">
        <v>17</v>
      </c>
      <c r="I105" s="21"/>
      <c r="J105" s="38"/>
    </row>
    <row r="106">
      <c r="A106" s="30">
        <v>46243.0</v>
      </c>
      <c r="B106" s="13" t="s">
        <v>38</v>
      </c>
      <c r="C106" s="13" t="s">
        <v>40</v>
      </c>
      <c r="D106" s="18">
        <v>1000.0</v>
      </c>
      <c r="E106" s="13">
        <v>1000.0</v>
      </c>
      <c r="F106" s="35">
        <v>46243.0</v>
      </c>
      <c r="G106" s="13" t="s">
        <v>14</v>
      </c>
      <c r="H106" s="36" t="s">
        <v>17</v>
      </c>
      <c r="I106" s="21"/>
      <c r="J106" s="38"/>
    </row>
    <row r="107">
      <c r="A107" s="30">
        <v>46243.0</v>
      </c>
      <c r="B107" s="13" t="s">
        <v>38</v>
      </c>
      <c r="C107" s="13" t="s">
        <v>111</v>
      </c>
      <c r="D107" s="18">
        <v>2000.0</v>
      </c>
      <c r="E107" s="13">
        <v>2000.0</v>
      </c>
      <c r="F107" s="35">
        <v>46243.0</v>
      </c>
      <c r="G107" s="13" t="s">
        <v>14</v>
      </c>
      <c r="H107" s="36" t="s">
        <v>17</v>
      </c>
      <c r="I107" s="21"/>
      <c r="J107" s="38"/>
    </row>
    <row r="108">
      <c r="A108" s="30">
        <v>46243.0</v>
      </c>
      <c r="B108" s="13" t="s">
        <v>43</v>
      </c>
      <c r="C108" s="13" t="s">
        <v>422</v>
      </c>
      <c r="D108" s="18">
        <v>33250.0</v>
      </c>
      <c r="E108" s="13">
        <v>33250.0</v>
      </c>
      <c r="F108" s="35">
        <v>46253.0</v>
      </c>
      <c r="G108" s="13" t="s">
        <v>55</v>
      </c>
      <c r="H108" s="45" t="s">
        <v>42</v>
      </c>
      <c r="I108" s="21"/>
      <c r="J108" s="38"/>
    </row>
    <row r="109">
      <c r="A109" s="151">
        <v>46243.0</v>
      </c>
      <c r="B109" s="88" t="s">
        <v>101</v>
      </c>
      <c r="C109" s="178" t="s">
        <v>214</v>
      </c>
      <c r="D109" s="91">
        <v>1000.0</v>
      </c>
      <c r="E109" s="88">
        <v>1000.0</v>
      </c>
      <c r="F109" s="154">
        <v>46243.0</v>
      </c>
      <c r="G109" s="88" t="s">
        <v>14</v>
      </c>
      <c r="H109" s="155" t="s">
        <v>17</v>
      </c>
      <c r="I109" s="57"/>
      <c r="J109" s="64"/>
    </row>
    <row r="110">
      <c r="A110" s="10">
        <v>46244.0</v>
      </c>
      <c r="B110" s="12" t="s">
        <v>10</v>
      </c>
      <c r="C110" s="179" t="s">
        <v>12</v>
      </c>
      <c r="D110" s="16">
        <v>70.0</v>
      </c>
      <c r="E110" s="16">
        <v>70.0</v>
      </c>
      <c r="F110" s="67">
        <v>46244.0</v>
      </c>
      <c r="G110" s="41" t="s">
        <v>14</v>
      </c>
      <c r="H110" s="69" t="s">
        <v>17</v>
      </c>
      <c r="I110" s="25"/>
      <c r="J110" s="27"/>
    </row>
    <row r="111">
      <c r="A111" s="30">
        <v>46244.0</v>
      </c>
      <c r="B111" s="13" t="s">
        <v>25</v>
      </c>
      <c r="C111" s="13" t="s">
        <v>89</v>
      </c>
      <c r="D111" s="18">
        <v>105.0</v>
      </c>
      <c r="E111" s="18">
        <v>105.0</v>
      </c>
      <c r="F111" s="35">
        <v>46244.0</v>
      </c>
      <c r="G111" s="13" t="s">
        <v>14</v>
      </c>
      <c r="H111" s="36" t="s">
        <v>17</v>
      </c>
      <c r="I111" s="21"/>
      <c r="J111" s="38"/>
    </row>
    <row r="112">
      <c r="A112" s="30">
        <v>46244.0</v>
      </c>
      <c r="B112" s="13" t="s">
        <v>434</v>
      </c>
      <c r="C112" s="13" t="s">
        <v>434</v>
      </c>
      <c r="D112" s="18">
        <v>353.0</v>
      </c>
      <c r="E112" s="18">
        <v>353.0</v>
      </c>
      <c r="F112" s="35">
        <v>46244.0</v>
      </c>
      <c r="G112" s="13" t="s">
        <v>14</v>
      </c>
      <c r="H112" s="36" t="s">
        <v>17</v>
      </c>
      <c r="I112" s="21"/>
      <c r="J112" s="38"/>
    </row>
    <row r="113">
      <c r="A113" s="30">
        <v>46244.0</v>
      </c>
      <c r="B113" s="13" t="s">
        <v>436</v>
      </c>
      <c r="C113" s="13" t="s">
        <v>437</v>
      </c>
      <c r="D113" s="18">
        <v>250.0</v>
      </c>
      <c r="E113" s="18">
        <v>250.0</v>
      </c>
      <c r="F113" s="35">
        <v>46244.0</v>
      </c>
      <c r="G113" s="13" t="s">
        <v>14</v>
      </c>
      <c r="H113" s="36" t="s">
        <v>17</v>
      </c>
      <c r="I113" s="21"/>
      <c r="J113" s="38"/>
    </row>
    <row r="114">
      <c r="A114" s="30">
        <v>46244.0</v>
      </c>
      <c r="B114" s="13" t="s">
        <v>101</v>
      </c>
      <c r="C114" s="81" t="s">
        <v>245</v>
      </c>
      <c r="D114" s="18">
        <v>500.0</v>
      </c>
      <c r="E114" s="18">
        <v>500.0</v>
      </c>
      <c r="F114" s="35">
        <v>46244.0</v>
      </c>
      <c r="G114" s="13" t="s">
        <v>14</v>
      </c>
      <c r="H114" s="36" t="s">
        <v>17</v>
      </c>
      <c r="I114" s="21"/>
      <c r="J114" s="38"/>
    </row>
    <row r="115">
      <c r="A115" s="30">
        <v>46244.0</v>
      </c>
      <c r="B115" s="13" t="s">
        <v>248</v>
      </c>
      <c r="C115" s="13" t="s">
        <v>442</v>
      </c>
      <c r="D115" s="18">
        <v>720.0</v>
      </c>
      <c r="E115" s="18">
        <v>720.0</v>
      </c>
      <c r="F115" s="35">
        <v>46244.0</v>
      </c>
      <c r="G115" s="13" t="s">
        <v>14</v>
      </c>
      <c r="H115" s="36" t="s">
        <v>17</v>
      </c>
      <c r="I115" s="21"/>
      <c r="J115" s="38"/>
    </row>
    <row r="116">
      <c r="A116" s="30">
        <v>46244.0</v>
      </c>
      <c r="B116" s="13" t="s">
        <v>38</v>
      </c>
      <c r="C116" s="13" t="s">
        <v>40</v>
      </c>
      <c r="D116" s="18">
        <v>1000.0</v>
      </c>
      <c r="E116" s="13">
        <v>1000.0</v>
      </c>
      <c r="F116" s="35">
        <v>46244.0</v>
      </c>
      <c r="G116" s="13" t="s">
        <v>14</v>
      </c>
      <c r="H116" s="36" t="s">
        <v>17</v>
      </c>
      <c r="I116" s="21"/>
      <c r="J116" s="38"/>
    </row>
    <row r="117">
      <c r="A117" s="30">
        <v>46244.0</v>
      </c>
      <c r="B117" s="13" t="s">
        <v>38</v>
      </c>
      <c r="C117" s="13" t="s">
        <v>175</v>
      </c>
      <c r="D117" s="18">
        <v>1000.0</v>
      </c>
      <c r="E117" s="13">
        <v>1000.0</v>
      </c>
      <c r="F117" s="35">
        <v>46244.0</v>
      </c>
      <c r="G117" s="13" t="s">
        <v>14</v>
      </c>
      <c r="H117" s="36" t="s">
        <v>17</v>
      </c>
      <c r="I117" s="21"/>
      <c r="J117" s="38"/>
    </row>
    <row r="118">
      <c r="A118" s="30">
        <v>46244.0</v>
      </c>
      <c r="B118" s="13" t="s">
        <v>225</v>
      </c>
      <c r="C118" s="13" t="s">
        <v>446</v>
      </c>
      <c r="D118" s="18">
        <v>7210.0</v>
      </c>
      <c r="E118" s="13">
        <v>7210.0</v>
      </c>
      <c r="F118" s="35">
        <v>46244.0</v>
      </c>
      <c r="G118" s="13" t="s">
        <v>36</v>
      </c>
      <c r="H118" s="45" t="s">
        <v>42</v>
      </c>
      <c r="I118" s="21"/>
      <c r="J118" s="38"/>
    </row>
    <row r="119">
      <c r="A119" s="30">
        <v>46244.0</v>
      </c>
      <c r="B119" s="13" t="s">
        <v>101</v>
      </c>
      <c r="C119" s="81" t="s">
        <v>304</v>
      </c>
      <c r="D119" s="18">
        <v>1000.0</v>
      </c>
      <c r="E119" s="13">
        <v>1000.0</v>
      </c>
      <c r="F119" s="35">
        <v>46244.0</v>
      </c>
      <c r="G119" s="13" t="s">
        <v>14</v>
      </c>
      <c r="H119" s="36" t="s">
        <v>17</v>
      </c>
      <c r="I119" s="21"/>
      <c r="J119" s="38"/>
    </row>
    <row r="120">
      <c r="A120" s="30">
        <v>46244.0</v>
      </c>
      <c r="B120" s="13" t="s">
        <v>450</v>
      </c>
      <c r="C120" s="13" t="s">
        <v>451</v>
      </c>
      <c r="D120" s="18">
        <v>21020.0</v>
      </c>
      <c r="E120" s="13">
        <v>21020.0</v>
      </c>
      <c r="F120" s="35">
        <v>46244.0</v>
      </c>
      <c r="G120" s="13" t="s">
        <v>36</v>
      </c>
      <c r="H120" s="45" t="s">
        <v>56</v>
      </c>
      <c r="I120" s="21"/>
      <c r="J120" s="38"/>
    </row>
    <row r="121">
      <c r="A121" s="30">
        <v>46244.0</v>
      </c>
      <c r="B121" s="13" t="s">
        <v>453</v>
      </c>
      <c r="C121" s="13" t="s">
        <v>456</v>
      </c>
      <c r="D121" s="18">
        <v>8026.0</v>
      </c>
      <c r="E121" s="13">
        <v>8026.0</v>
      </c>
      <c r="F121" s="35">
        <v>46244.0</v>
      </c>
      <c r="G121" s="13" t="s">
        <v>14</v>
      </c>
      <c r="H121" s="36" t="s">
        <v>17</v>
      </c>
      <c r="I121" s="21"/>
      <c r="J121" s="38"/>
    </row>
    <row r="122">
      <c r="A122" s="30">
        <v>46244.0</v>
      </c>
      <c r="B122" s="13" t="s">
        <v>63</v>
      </c>
      <c r="C122" s="13" t="s">
        <v>460</v>
      </c>
      <c r="D122" s="18">
        <v>7350.0</v>
      </c>
      <c r="E122" s="13">
        <v>7350.0</v>
      </c>
      <c r="F122" s="35">
        <v>46244.0</v>
      </c>
      <c r="G122" s="13" t="s">
        <v>14</v>
      </c>
      <c r="H122" s="36" t="s">
        <v>17</v>
      </c>
      <c r="I122" s="21"/>
      <c r="J122" s="38"/>
    </row>
    <row r="123">
      <c r="A123" s="30">
        <v>46244.0</v>
      </c>
      <c r="B123" s="13" t="s">
        <v>290</v>
      </c>
      <c r="C123" s="13" t="s">
        <v>463</v>
      </c>
      <c r="D123" s="18">
        <v>4190.0</v>
      </c>
      <c r="E123" s="13">
        <v>4190.0</v>
      </c>
      <c r="F123" s="35">
        <v>46244.0</v>
      </c>
      <c r="G123" s="13" t="s">
        <v>36</v>
      </c>
      <c r="H123" s="45" t="s">
        <v>56</v>
      </c>
      <c r="I123" s="21"/>
      <c r="J123" s="38"/>
    </row>
    <row r="124">
      <c r="A124" s="151">
        <v>46244.0</v>
      </c>
      <c r="B124" s="88" t="s">
        <v>106</v>
      </c>
      <c r="C124" s="88" t="s">
        <v>466</v>
      </c>
      <c r="D124" s="91">
        <v>7469.8</v>
      </c>
      <c r="E124" s="88">
        <v>7469.0</v>
      </c>
      <c r="F124" s="154">
        <v>46253.0</v>
      </c>
      <c r="G124" s="65" t="s">
        <v>36</v>
      </c>
      <c r="H124" s="94" t="s">
        <v>42</v>
      </c>
      <c r="I124" s="57"/>
      <c r="J124" s="64"/>
    </row>
    <row r="125">
      <c r="A125" s="10">
        <v>46245.0</v>
      </c>
      <c r="B125" s="12" t="s">
        <v>10</v>
      </c>
      <c r="C125" s="179" t="s">
        <v>449</v>
      </c>
      <c r="D125" s="16">
        <v>105.0</v>
      </c>
      <c r="E125" s="95">
        <v>105.0</v>
      </c>
      <c r="F125" s="67">
        <v>46245.0</v>
      </c>
      <c r="G125" s="95" t="s">
        <v>14</v>
      </c>
      <c r="H125" s="69" t="s">
        <v>17</v>
      </c>
      <c r="I125" s="25"/>
      <c r="J125" s="27"/>
    </row>
    <row r="126">
      <c r="A126" s="30">
        <v>46245.0</v>
      </c>
      <c r="B126" s="13" t="s">
        <v>25</v>
      </c>
      <c r="C126" s="13" t="s">
        <v>209</v>
      </c>
      <c r="D126" s="18">
        <v>35.0</v>
      </c>
      <c r="E126" s="13">
        <v>70.0</v>
      </c>
      <c r="F126" s="35">
        <v>46245.0</v>
      </c>
      <c r="G126" s="13" t="s">
        <v>14</v>
      </c>
      <c r="H126" s="36" t="s">
        <v>17</v>
      </c>
      <c r="I126" s="21"/>
      <c r="J126" s="38"/>
    </row>
    <row r="127">
      <c r="A127" s="30">
        <v>46245.0</v>
      </c>
      <c r="B127" s="13" t="s">
        <v>364</v>
      </c>
      <c r="C127" s="13" t="s">
        <v>77</v>
      </c>
      <c r="D127" s="18">
        <v>4900.0</v>
      </c>
      <c r="E127" s="13">
        <v>4900.0</v>
      </c>
      <c r="F127" s="35">
        <v>46245.0</v>
      </c>
      <c r="G127" s="13" t="s">
        <v>14</v>
      </c>
      <c r="H127" s="36" t="s">
        <v>17</v>
      </c>
      <c r="I127" s="21"/>
      <c r="J127" s="38"/>
    </row>
    <row r="128">
      <c r="A128" s="30">
        <v>46245.0</v>
      </c>
      <c r="B128" s="13" t="s">
        <v>38</v>
      </c>
      <c r="C128" s="13" t="s">
        <v>175</v>
      </c>
      <c r="D128" s="18">
        <v>500.0</v>
      </c>
      <c r="E128" s="13">
        <v>500.0</v>
      </c>
      <c r="F128" s="35">
        <v>46245.0</v>
      </c>
      <c r="G128" s="13" t="s">
        <v>14</v>
      </c>
      <c r="H128" s="36" t="s">
        <v>17</v>
      </c>
      <c r="I128" s="21"/>
      <c r="J128" s="38"/>
    </row>
    <row r="129">
      <c r="A129" s="30">
        <v>46245.0</v>
      </c>
      <c r="B129" s="13" t="s">
        <v>68</v>
      </c>
      <c r="C129" s="13" t="s">
        <v>479</v>
      </c>
      <c r="D129" s="18">
        <v>4075.0</v>
      </c>
      <c r="E129" s="13">
        <v>4075.0</v>
      </c>
      <c r="F129" s="35">
        <v>46244.0</v>
      </c>
      <c r="G129" s="13" t="s">
        <v>36</v>
      </c>
      <c r="H129" s="45" t="s">
        <v>42</v>
      </c>
      <c r="I129" s="21"/>
      <c r="J129" s="38"/>
    </row>
    <row r="130">
      <c r="A130" s="199"/>
      <c r="B130" s="201"/>
      <c r="C130" s="201"/>
      <c r="D130" s="203"/>
      <c r="E130" s="201"/>
      <c r="F130" s="201"/>
      <c r="G130" s="57"/>
      <c r="H130" s="201"/>
      <c r="I130" s="201"/>
      <c r="J130" s="204"/>
    </row>
    <row r="131">
      <c r="A131" s="10">
        <v>46246.0</v>
      </c>
      <c r="B131" s="12" t="s">
        <v>10</v>
      </c>
      <c r="C131" s="179" t="s">
        <v>12</v>
      </c>
      <c r="D131" s="16">
        <v>70.0</v>
      </c>
      <c r="E131" s="16">
        <v>70.0</v>
      </c>
      <c r="F131" s="67">
        <v>46246.0</v>
      </c>
      <c r="G131" s="41" t="s">
        <v>14</v>
      </c>
      <c r="H131" s="69" t="s">
        <v>17</v>
      </c>
      <c r="I131" s="25"/>
      <c r="J131" s="27"/>
    </row>
    <row r="132">
      <c r="A132" s="30">
        <v>46246.0</v>
      </c>
      <c r="B132" s="13" t="s">
        <v>25</v>
      </c>
      <c r="C132" s="13" t="s">
        <v>89</v>
      </c>
      <c r="D132" s="18">
        <v>105.0</v>
      </c>
      <c r="E132" s="18">
        <v>105.0</v>
      </c>
      <c r="F132" s="35">
        <v>46246.0</v>
      </c>
      <c r="G132" s="13" t="s">
        <v>14</v>
      </c>
      <c r="H132" s="36" t="s">
        <v>17</v>
      </c>
      <c r="I132" s="21"/>
      <c r="J132" s="38"/>
    </row>
    <row r="133">
      <c r="A133" s="30">
        <v>46246.0</v>
      </c>
      <c r="B133" s="13" t="s">
        <v>230</v>
      </c>
      <c r="C133" s="13" t="s">
        <v>492</v>
      </c>
      <c r="D133" s="18">
        <v>8800.0</v>
      </c>
      <c r="E133" s="18">
        <v>8800.0</v>
      </c>
      <c r="F133" s="35">
        <v>46246.0</v>
      </c>
      <c r="G133" s="13" t="s">
        <v>14</v>
      </c>
      <c r="H133" s="36" t="s">
        <v>17</v>
      </c>
      <c r="I133" s="21"/>
      <c r="J133" s="38"/>
    </row>
    <row r="134">
      <c r="A134" s="30">
        <v>46246.0</v>
      </c>
      <c r="B134" s="13" t="s">
        <v>50</v>
      </c>
      <c r="C134" s="13" t="s">
        <v>494</v>
      </c>
      <c r="D134" s="18">
        <v>1300.0</v>
      </c>
      <c r="E134" s="18">
        <v>1300.0</v>
      </c>
      <c r="F134" s="35">
        <v>46246.0</v>
      </c>
      <c r="G134" s="13" t="s">
        <v>14</v>
      </c>
      <c r="H134" s="36" t="s">
        <v>17</v>
      </c>
      <c r="I134" s="21"/>
      <c r="J134" s="38"/>
    </row>
    <row r="135">
      <c r="A135" s="30">
        <v>46246.0</v>
      </c>
      <c r="B135" s="13" t="s">
        <v>50</v>
      </c>
      <c r="C135" s="13" t="s">
        <v>497</v>
      </c>
      <c r="D135" s="18">
        <v>300.0</v>
      </c>
      <c r="E135" s="18">
        <v>300.0</v>
      </c>
      <c r="F135" s="35">
        <v>46246.0</v>
      </c>
      <c r="G135" s="13" t="s">
        <v>14</v>
      </c>
      <c r="H135" s="36" t="s">
        <v>17</v>
      </c>
      <c r="I135" s="21"/>
      <c r="J135" s="38"/>
    </row>
    <row r="136">
      <c r="A136" s="30">
        <v>46246.0</v>
      </c>
      <c r="B136" s="13" t="s">
        <v>217</v>
      </c>
      <c r="C136" s="13" t="s">
        <v>501</v>
      </c>
      <c r="D136" s="18">
        <v>2100.0</v>
      </c>
      <c r="E136" s="18">
        <v>2100.0</v>
      </c>
      <c r="F136" s="35">
        <v>46246.0</v>
      </c>
      <c r="G136" s="13" t="s">
        <v>14</v>
      </c>
      <c r="H136" s="36" t="s">
        <v>17</v>
      </c>
      <c r="I136" s="21"/>
      <c r="J136" s="38"/>
    </row>
    <row r="137">
      <c r="A137" s="30">
        <v>46246.0</v>
      </c>
      <c r="B137" s="13" t="s">
        <v>217</v>
      </c>
      <c r="C137" s="13" t="s">
        <v>113</v>
      </c>
      <c r="D137" s="18">
        <v>550.0</v>
      </c>
      <c r="E137" s="18">
        <v>550.0</v>
      </c>
      <c r="F137" s="35">
        <v>46246.0</v>
      </c>
      <c r="G137" s="13" t="s">
        <v>14</v>
      </c>
      <c r="H137" s="36" t="s">
        <v>17</v>
      </c>
      <c r="I137" s="21"/>
      <c r="J137" s="38"/>
    </row>
    <row r="138">
      <c r="A138" s="30">
        <v>46246.0</v>
      </c>
      <c r="B138" s="13" t="s">
        <v>38</v>
      </c>
      <c r="C138" s="13" t="s">
        <v>111</v>
      </c>
      <c r="D138" s="18">
        <v>1000.0</v>
      </c>
      <c r="E138" s="18">
        <v>1000.0</v>
      </c>
      <c r="F138" s="35">
        <v>46246.0</v>
      </c>
      <c r="G138" s="13" t="s">
        <v>14</v>
      </c>
      <c r="H138" s="36" t="s">
        <v>17</v>
      </c>
      <c r="I138" s="21"/>
      <c r="J138" s="38"/>
    </row>
    <row r="139">
      <c r="A139" s="30">
        <v>46246.0</v>
      </c>
      <c r="B139" s="13" t="s">
        <v>334</v>
      </c>
      <c r="C139" s="13" t="s">
        <v>505</v>
      </c>
      <c r="D139" s="18">
        <v>90.0</v>
      </c>
      <c r="E139" s="13">
        <v>90.0</v>
      </c>
      <c r="F139" s="35">
        <v>46246.0</v>
      </c>
      <c r="G139" s="13" t="s">
        <v>14</v>
      </c>
      <c r="H139" s="36" t="s">
        <v>17</v>
      </c>
      <c r="I139" s="21"/>
      <c r="J139" s="38"/>
    </row>
    <row r="140">
      <c r="A140" s="30">
        <v>46246.0</v>
      </c>
      <c r="B140" s="13" t="s">
        <v>509</v>
      </c>
      <c r="C140" s="13" t="s">
        <v>511</v>
      </c>
      <c r="D140" s="18">
        <v>1560.0</v>
      </c>
      <c r="E140" s="13">
        <v>1560.0</v>
      </c>
      <c r="F140" s="35">
        <v>46246.0</v>
      </c>
      <c r="G140" s="13" t="s">
        <v>14</v>
      </c>
      <c r="H140" s="36" t="s">
        <v>17</v>
      </c>
      <c r="I140" s="21"/>
      <c r="J140" s="38"/>
    </row>
    <row r="141">
      <c r="A141" s="30">
        <v>46246.0</v>
      </c>
      <c r="B141" s="13" t="s">
        <v>288</v>
      </c>
      <c r="C141" s="13" t="s">
        <v>513</v>
      </c>
      <c r="D141" s="18">
        <v>6000.0</v>
      </c>
      <c r="E141" s="13">
        <v>6000.0</v>
      </c>
      <c r="F141" s="35">
        <v>46249.0</v>
      </c>
      <c r="G141" s="13" t="s">
        <v>55</v>
      </c>
      <c r="H141" s="45" t="s">
        <v>56</v>
      </c>
      <c r="I141" s="21"/>
      <c r="J141" s="38"/>
    </row>
    <row r="142">
      <c r="A142" s="30">
        <v>46246.0</v>
      </c>
      <c r="B142" s="13" t="s">
        <v>52</v>
      </c>
      <c r="C142" s="13" t="s">
        <v>517</v>
      </c>
      <c r="D142" s="18">
        <v>29100.0</v>
      </c>
      <c r="E142" s="13">
        <v>29100.0</v>
      </c>
      <c r="F142" s="44">
        <v>46259.0</v>
      </c>
      <c r="G142" s="13" t="s">
        <v>55</v>
      </c>
      <c r="H142" s="45" t="s">
        <v>42</v>
      </c>
      <c r="I142" s="21"/>
      <c r="J142" s="38"/>
    </row>
    <row r="143">
      <c r="A143" s="199"/>
      <c r="B143" s="201"/>
      <c r="C143" s="201"/>
      <c r="D143" s="203"/>
      <c r="E143" s="201"/>
      <c r="F143" s="201"/>
      <c r="G143" s="97"/>
      <c r="H143" s="201"/>
      <c r="I143" s="201"/>
      <c r="J143" s="204"/>
      <c r="L143" s="217"/>
    </row>
    <row r="144">
      <c r="A144" s="218">
        <v>46247.0</v>
      </c>
      <c r="B144" s="12" t="s">
        <v>10</v>
      </c>
      <c r="C144" s="179" t="s">
        <v>12</v>
      </c>
      <c r="D144" s="16">
        <v>70.0</v>
      </c>
      <c r="E144" s="16">
        <v>70.0</v>
      </c>
      <c r="F144" s="219">
        <v>46247.0</v>
      </c>
      <c r="G144" s="95" t="s">
        <v>14</v>
      </c>
      <c r="H144" s="69" t="s">
        <v>17</v>
      </c>
      <c r="I144" s="220"/>
      <c r="J144" s="32"/>
    </row>
    <row r="145">
      <c r="A145" s="30">
        <v>46247.0</v>
      </c>
      <c r="B145" s="13" t="s">
        <v>25</v>
      </c>
      <c r="C145" s="13" t="s">
        <v>26</v>
      </c>
      <c r="D145" s="18">
        <v>140.0</v>
      </c>
      <c r="E145" s="18">
        <v>140.0</v>
      </c>
      <c r="F145" s="35">
        <v>46247.0</v>
      </c>
      <c r="G145" s="13" t="s">
        <v>14</v>
      </c>
      <c r="H145" s="36" t="s">
        <v>17</v>
      </c>
      <c r="I145" s="21"/>
      <c r="J145" s="38"/>
    </row>
    <row r="146">
      <c r="A146" s="30">
        <v>46247.0</v>
      </c>
      <c r="B146" s="13" t="s">
        <v>38</v>
      </c>
      <c r="C146" s="13" t="s">
        <v>175</v>
      </c>
      <c r="D146" s="18">
        <v>1000.0</v>
      </c>
      <c r="E146" s="18">
        <v>1000.0</v>
      </c>
      <c r="F146" s="35">
        <v>46247.0</v>
      </c>
      <c r="G146" s="13" t="s">
        <v>14</v>
      </c>
      <c r="H146" s="36" t="s">
        <v>17</v>
      </c>
      <c r="I146" s="21"/>
      <c r="J146" s="38"/>
    </row>
    <row r="147">
      <c r="A147" s="30">
        <v>46247.0</v>
      </c>
      <c r="B147" s="13" t="s">
        <v>38</v>
      </c>
      <c r="C147" s="13" t="s">
        <v>40</v>
      </c>
      <c r="D147" s="18">
        <v>1000.0</v>
      </c>
      <c r="E147" s="18">
        <v>1000.0</v>
      </c>
      <c r="F147" s="35">
        <v>46247.0</v>
      </c>
      <c r="G147" s="13" t="s">
        <v>14</v>
      </c>
      <c r="H147" s="36" t="s">
        <v>17</v>
      </c>
      <c r="I147" s="21"/>
      <c r="J147" s="38"/>
    </row>
    <row r="148">
      <c r="A148" s="30">
        <v>46247.0</v>
      </c>
      <c r="B148" s="13" t="s">
        <v>38</v>
      </c>
      <c r="C148" s="13" t="s">
        <v>111</v>
      </c>
      <c r="D148" s="18">
        <v>1200.0</v>
      </c>
      <c r="E148" s="18">
        <v>1200.0</v>
      </c>
      <c r="F148" s="35">
        <v>46247.0</v>
      </c>
      <c r="G148" s="13" t="s">
        <v>14</v>
      </c>
      <c r="H148" s="36" t="s">
        <v>17</v>
      </c>
      <c r="I148" s="21"/>
      <c r="J148" s="38"/>
    </row>
    <row r="149">
      <c r="A149" s="30">
        <v>46247.0</v>
      </c>
      <c r="B149" s="13" t="s">
        <v>48</v>
      </c>
      <c r="C149" s="13" t="s">
        <v>556</v>
      </c>
      <c r="D149" s="18">
        <v>3375.0</v>
      </c>
      <c r="E149" s="18">
        <v>3375.0</v>
      </c>
      <c r="F149" s="35">
        <v>46247.0</v>
      </c>
      <c r="G149" s="13" t="s">
        <v>14</v>
      </c>
      <c r="H149" s="36" t="s">
        <v>17</v>
      </c>
      <c r="I149" s="21"/>
      <c r="J149" s="38"/>
    </row>
    <row r="150">
      <c r="A150" s="30">
        <v>46247.0</v>
      </c>
      <c r="B150" s="13" t="s">
        <v>334</v>
      </c>
      <c r="C150" s="13" t="s">
        <v>559</v>
      </c>
      <c r="D150" s="18">
        <v>30.0</v>
      </c>
      <c r="E150" s="18">
        <v>30.0</v>
      </c>
      <c r="F150" s="35">
        <v>46247.0</v>
      </c>
      <c r="G150" s="13" t="s">
        <v>14</v>
      </c>
      <c r="H150" s="36" t="s">
        <v>17</v>
      </c>
      <c r="I150" s="21"/>
      <c r="J150" s="38"/>
    </row>
    <row r="151">
      <c r="A151" s="30">
        <v>46247.0</v>
      </c>
      <c r="B151" s="13" t="s">
        <v>561</v>
      </c>
      <c r="C151" s="13" t="s">
        <v>562</v>
      </c>
      <c r="D151" s="18">
        <v>540.0</v>
      </c>
      <c r="E151" s="18">
        <v>540.0</v>
      </c>
      <c r="F151" s="35">
        <v>46247.0</v>
      </c>
      <c r="G151" s="13" t="s">
        <v>14</v>
      </c>
      <c r="H151" s="36" t="s">
        <v>17</v>
      </c>
      <c r="I151" s="21"/>
      <c r="J151" s="38"/>
    </row>
    <row r="152">
      <c r="A152" s="30">
        <v>46247.0</v>
      </c>
      <c r="B152" s="13" t="s">
        <v>50</v>
      </c>
      <c r="C152" s="13" t="s">
        <v>565</v>
      </c>
      <c r="D152" s="18">
        <v>204.0</v>
      </c>
      <c r="E152" s="18">
        <v>204.0</v>
      </c>
      <c r="F152" s="35">
        <v>46247.0</v>
      </c>
      <c r="G152" s="13" t="s">
        <v>14</v>
      </c>
      <c r="H152" s="36" t="s">
        <v>17</v>
      </c>
      <c r="I152" s="21"/>
      <c r="J152" s="38"/>
    </row>
    <row r="153">
      <c r="A153" s="30">
        <v>46247.0</v>
      </c>
      <c r="B153" s="13" t="s">
        <v>43</v>
      </c>
      <c r="C153" s="13" t="s">
        <v>569</v>
      </c>
      <c r="D153" s="18">
        <v>49515.0</v>
      </c>
      <c r="E153" s="13">
        <v>49515.0</v>
      </c>
      <c r="F153" s="35">
        <v>46253.0</v>
      </c>
      <c r="G153" s="13" t="s">
        <v>55</v>
      </c>
      <c r="H153" s="45" t="s">
        <v>56</v>
      </c>
      <c r="I153" s="21"/>
      <c r="J153" s="38"/>
    </row>
    <row r="154">
      <c r="A154" s="199"/>
      <c r="B154" s="171"/>
      <c r="C154" s="201"/>
      <c r="D154" s="203"/>
      <c r="E154" s="201"/>
      <c r="F154" s="201"/>
      <c r="G154" s="57"/>
      <c r="H154" s="201"/>
      <c r="I154" s="201"/>
      <c r="J154" s="204"/>
    </row>
    <row r="155">
      <c r="A155" s="218">
        <v>46248.0</v>
      </c>
      <c r="B155" s="12" t="s">
        <v>10</v>
      </c>
      <c r="C155" s="179" t="s">
        <v>12</v>
      </c>
      <c r="D155" s="16">
        <v>70.0</v>
      </c>
      <c r="E155" s="16">
        <v>70.0</v>
      </c>
      <c r="F155" s="219">
        <v>46248.0</v>
      </c>
      <c r="G155" s="41" t="s">
        <v>14</v>
      </c>
      <c r="H155" s="69" t="s">
        <v>17</v>
      </c>
      <c r="I155" s="220"/>
      <c r="J155" s="32"/>
    </row>
    <row r="156">
      <c r="A156" s="30">
        <v>46248.0</v>
      </c>
      <c r="B156" s="13" t="s">
        <v>25</v>
      </c>
      <c r="C156" s="13" t="s">
        <v>209</v>
      </c>
      <c r="D156" s="18">
        <v>70.0</v>
      </c>
      <c r="E156" s="18">
        <v>70.0</v>
      </c>
      <c r="F156" s="35">
        <v>46248.0</v>
      </c>
      <c r="G156" s="13" t="s">
        <v>14</v>
      </c>
      <c r="H156" s="36" t="s">
        <v>17</v>
      </c>
      <c r="I156" s="21"/>
      <c r="J156" s="38"/>
    </row>
    <row r="157">
      <c r="A157" s="30">
        <v>46248.0</v>
      </c>
      <c r="B157" s="13" t="s">
        <v>38</v>
      </c>
      <c r="C157" s="13" t="s">
        <v>40</v>
      </c>
      <c r="D157" s="18">
        <v>1000.0</v>
      </c>
      <c r="E157" s="18">
        <v>1000.0</v>
      </c>
      <c r="F157" s="35">
        <v>46248.0</v>
      </c>
      <c r="G157" s="13" t="s">
        <v>14</v>
      </c>
      <c r="H157" s="36" t="s">
        <v>17</v>
      </c>
      <c r="I157" s="21"/>
      <c r="J157" s="38"/>
    </row>
    <row r="158">
      <c r="A158" s="30">
        <v>46248.0</v>
      </c>
      <c r="B158" s="13" t="s">
        <v>38</v>
      </c>
      <c r="C158" s="13" t="s">
        <v>111</v>
      </c>
      <c r="D158" s="18">
        <v>1000.0</v>
      </c>
      <c r="E158" s="18">
        <v>1000.0</v>
      </c>
      <c r="F158" s="35">
        <v>46248.0</v>
      </c>
      <c r="G158" s="13" t="s">
        <v>14</v>
      </c>
      <c r="H158" s="36" t="s">
        <v>17</v>
      </c>
      <c r="I158" s="21"/>
      <c r="J158" s="38"/>
    </row>
    <row r="159">
      <c r="A159" s="30">
        <v>46248.0</v>
      </c>
      <c r="B159" s="13" t="s">
        <v>578</v>
      </c>
      <c r="C159" s="13" t="s">
        <v>579</v>
      </c>
      <c r="D159" s="18">
        <v>14100.0</v>
      </c>
      <c r="E159" s="18">
        <v>14100.0</v>
      </c>
      <c r="F159" s="35">
        <v>46248.0</v>
      </c>
      <c r="G159" s="13" t="s">
        <v>14</v>
      </c>
      <c r="H159" s="36" t="s">
        <v>17</v>
      </c>
      <c r="I159" s="21"/>
      <c r="J159" s="38"/>
    </row>
    <row r="160">
      <c r="A160" s="30">
        <v>46248.0</v>
      </c>
      <c r="B160" s="13" t="s">
        <v>160</v>
      </c>
      <c r="C160" s="13" t="s">
        <v>581</v>
      </c>
      <c r="D160" s="18">
        <v>34020.0</v>
      </c>
      <c r="E160" s="13">
        <v>34020.0</v>
      </c>
      <c r="F160" s="44">
        <v>46259.0</v>
      </c>
      <c r="G160" s="13" t="s">
        <v>55</v>
      </c>
      <c r="H160" s="45" t="s">
        <v>42</v>
      </c>
      <c r="I160" s="21"/>
      <c r="J160" s="38"/>
    </row>
    <row r="161">
      <c r="A161" s="30">
        <v>46248.0</v>
      </c>
      <c r="B161" s="13" t="s">
        <v>118</v>
      </c>
      <c r="C161" s="13" t="s">
        <v>584</v>
      </c>
      <c r="D161" s="18">
        <v>3070.0</v>
      </c>
      <c r="E161" s="13">
        <v>3070.0</v>
      </c>
      <c r="F161" s="35">
        <v>46247.0</v>
      </c>
      <c r="G161" s="13" t="s">
        <v>55</v>
      </c>
      <c r="H161" s="45" t="s">
        <v>56</v>
      </c>
      <c r="I161" s="21"/>
      <c r="J161" s="38"/>
    </row>
    <row r="162">
      <c r="A162" s="55"/>
      <c r="B162" s="57"/>
      <c r="C162" s="57"/>
      <c r="D162" s="60"/>
      <c r="E162" s="57"/>
      <c r="F162" s="62"/>
      <c r="G162" s="97"/>
      <c r="H162" s="63"/>
      <c r="I162" s="57"/>
      <c r="J162" s="64"/>
    </row>
    <row r="163">
      <c r="A163" s="10">
        <v>46249.0</v>
      </c>
      <c r="B163" s="12" t="s">
        <v>10</v>
      </c>
      <c r="C163" s="179" t="s">
        <v>12</v>
      </c>
      <c r="D163" s="16">
        <v>70.0</v>
      </c>
      <c r="E163" s="95">
        <v>70.0</v>
      </c>
      <c r="F163" s="67">
        <v>46249.0</v>
      </c>
      <c r="G163" s="95" t="s">
        <v>14</v>
      </c>
      <c r="H163" s="69" t="s">
        <v>17</v>
      </c>
      <c r="I163" s="220"/>
      <c r="J163" s="32"/>
    </row>
    <row r="164">
      <c r="A164" s="30">
        <v>46249.0</v>
      </c>
      <c r="B164" s="13" t="s">
        <v>25</v>
      </c>
      <c r="C164" s="13" t="s">
        <v>354</v>
      </c>
      <c r="D164" s="18">
        <v>210.0</v>
      </c>
      <c r="E164" s="13">
        <v>210.0</v>
      </c>
      <c r="F164" s="35">
        <v>46249.0</v>
      </c>
      <c r="G164" s="13" t="s">
        <v>14</v>
      </c>
      <c r="H164" s="36" t="s">
        <v>17</v>
      </c>
      <c r="J164" s="128"/>
    </row>
    <row r="165">
      <c r="A165" s="30">
        <v>46249.0</v>
      </c>
      <c r="B165" s="13" t="s">
        <v>248</v>
      </c>
      <c r="C165" s="13" t="s">
        <v>249</v>
      </c>
      <c r="D165" s="18">
        <v>100.0</v>
      </c>
      <c r="E165" s="13">
        <v>100.0</v>
      </c>
      <c r="F165" s="35">
        <v>46249.0</v>
      </c>
      <c r="G165" s="13" t="s">
        <v>14</v>
      </c>
      <c r="H165" s="36" t="s">
        <v>17</v>
      </c>
      <c r="J165" s="128"/>
    </row>
    <row r="166">
      <c r="A166" s="30">
        <v>46249.0</v>
      </c>
      <c r="B166" s="13" t="s">
        <v>50</v>
      </c>
      <c r="C166" s="13" t="s">
        <v>596</v>
      </c>
      <c r="D166" s="18">
        <v>669.0</v>
      </c>
      <c r="E166" s="13">
        <v>669.0</v>
      </c>
      <c r="F166" s="35">
        <v>46249.0</v>
      </c>
      <c r="G166" s="13" t="s">
        <v>14</v>
      </c>
      <c r="H166" s="36" t="s">
        <v>17</v>
      </c>
      <c r="J166" s="128"/>
    </row>
    <row r="167">
      <c r="A167" s="30">
        <v>46249.0</v>
      </c>
      <c r="B167" s="13" t="s">
        <v>364</v>
      </c>
      <c r="C167" s="13" t="s">
        <v>77</v>
      </c>
      <c r="D167" s="18">
        <v>4900.0</v>
      </c>
      <c r="E167" s="13">
        <v>4900.0</v>
      </c>
      <c r="F167" s="35">
        <v>46249.0</v>
      </c>
      <c r="G167" s="13" t="s">
        <v>14</v>
      </c>
      <c r="H167" s="36" t="s">
        <v>17</v>
      </c>
      <c r="J167" s="128"/>
    </row>
    <row r="168">
      <c r="A168" s="30">
        <v>46249.0</v>
      </c>
      <c r="B168" s="13" t="s">
        <v>600</v>
      </c>
      <c r="C168" s="13" t="s">
        <v>601</v>
      </c>
      <c r="D168" s="18">
        <v>8000.0</v>
      </c>
      <c r="E168" s="13">
        <v>8000.0</v>
      </c>
      <c r="F168" s="35">
        <v>46249.0</v>
      </c>
      <c r="G168" s="13" t="s">
        <v>14</v>
      </c>
      <c r="H168" s="36" t="s">
        <v>17</v>
      </c>
      <c r="J168" s="128"/>
    </row>
    <row r="169">
      <c r="A169" s="30">
        <v>46249.0</v>
      </c>
      <c r="B169" s="13" t="s">
        <v>52</v>
      </c>
      <c r="C169" s="13" t="s">
        <v>604</v>
      </c>
      <c r="D169" s="18">
        <v>22500.0</v>
      </c>
      <c r="E169" s="13">
        <v>22500.0</v>
      </c>
      <c r="F169" s="35">
        <v>46249.0</v>
      </c>
      <c r="G169" s="13" t="s">
        <v>14</v>
      </c>
      <c r="H169" s="36" t="s">
        <v>17</v>
      </c>
      <c r="J169" s="128"/>
    </row>
    <row r="170">
      <c r="A170" s="30">
        <v>46249.0</v>
      </c>
      <c r="B170" s="13" t="s">
        <v>101</v>
      </c>
      <c r="C170" s="81" t="s">
        <v>304</v>
      </c>
      <c r="D170" s="18">
        <v>3200.0</v>
      </c>
      <c r="E170" s="13">
        <v>3200.0</v>
      </c>
      <c r="F170" s="35">
        <v>46249.0</v>
      </c>
      <c r="G170" s="13" t="s">
        <v>14</v>
      </c>
      <c r="H170" s="36" t="s">
        <v>17</v>
      </c>
      <c r="J170" s="128"/>
    </row>
    <row r="171">
      <c r="A171" s="30">
        <v>46249.0</v>
      </c>
      <c r="B171" s="13" t="s">
        <v>38</v>
      </c>
      <c r="C171" s="13" t="s">
        <v>111</v>
      </c>
      <c r="D171" s="18">
        <v>1000.0</v>
      </c>
      <c r="E171" s="13">
        <v>1000.0</v>
      </c>
      <c r="F171" s="35">
        <v>46249.0</v>
      </c>
      <c r="G171" s="13" t="s">
        <v>14</v>
      </c>
      <c r="H171" s="36" t="s">
        <v>17</v>
      </c>
      <c r="J171" s="128"/>
    </row>
    <row r="172">
      <c r="A172" s="30">
        <v>46249.0</v>
      </c>
      <c r="B172" s="13" t="s">
        <v>101</v>
      </c>
      <c r="C172" s="81" t="s">
        <v>245</v>
      </c>
      <c r="D172" s="18">
        <v>500.0</v>
      </c>
      <c r="E172" s="13">
        <v>500.0</v>
      </c>
      <c r="F172" s="35">
        <v>46249.0</v>
      </c>
      <c r="G172" s="13" t="s">
        <v>14</v>
      </c>
      <c r="H172" s="36" t="s">
        <v>17</v>
      </c>
      <c r="J172" s="128"/>
    </row>
    <row r="173">
      <c r="A173" s="89">
        <v>46249.0</v>
      </c>
      <c r="B173" s="65" t="s">
        <v>43</v>
      </c>
      <c r="C173" s="225" t="s">
        <v>611</v>
      </c>
      <c r="D173" s="70">
        <v>52150.0</v>
      </c>
      <c r="E173" s="65">
        <v>51370.0</v>
      </c>
      <c r="F173" s="92">
        <v>46248.0</v>
      </c>
      <c r="G173" s="13" t="s">
        <v>55</v>
      </c>
      <c r="H173" s="94" t="s">
        <v>42</v>
      </c>
      <c r="J173" s="128"/>
    </row>
    <row r="174">
      <c r="A174" s="30">
        <v>46249.0</v>
      </c>
      <c r="B174" s="13" t="s">
        <v>298</v>
      </c>
      <c r="C174" s="13" t="s">
        <v>614</v>
      </c>
      <c r="D174" s="18">
        <v>51370.0</v>
      </c>
      <c r="E174" s="227">
        <v>51370.0</v>
      </c>
      <c r="F174" s="92">
        <v>46248.0</v>
      </c>
      <c r="G174" s="13" t="s">
        <v>55</v>
      </c>
      <c r="H174" s="94" t="s">
        <v>42</v>
      </c>
      <c r="I174" s="7" t="s">
        <v>615</v>
      </c>
      <c r="J174" s="128"/>
    </row>
    <row r="175">
      <c r="A175" s="30">
        <v>46249.0</v>
      </c>
      <c r="B175" s="13" t="s">
        <v>21</v>
      </c>
      <c r="C175" s="13" t="s">
        <v>616</v>
      </c>
      <c r="D175" s="18">
        <v>24000.0</v>
      </c>
      <c r="E175" s="13">
        <v>24000.0</v>
      </c>
      <c r="F175" s="35">
        <v>46248.0</v>
      </c>
      <c r="G175" s="13" t="s">
        <v>55</v>
      </c>
      <c r="H175" s="94" t="s">
        <v>42</v>
      </c>
      <c r="J175" s="128"/>
    </row>
    <row r="176">
      <c r="A176" s="30">
        <v>46249.0</v>
      </c>
      <c r="B176" s="13" t="s">
        <v>193</v>
      </c>
      <c r="C176" s="13" t="s">
        <v>617</v>
      </c>
      <c r="D176" s="18">
        <v>25200.0</v>
      </c>
      <c r="E176" s="13">
        <v>25200.0</v>
      </c>
      <c r="F176" s="35">
        <v>46259.0</v>
      </c>
      <c r="G176" s="13" t="s">
        <v>55</v>
      </c>
      <c r="H176" s="45" t="s">
        <v>42</v>
      </c>
      <c r="J176" s="128"/>
    </row>
    <row r="177">
      <c r="A177" s="30">
        <v>46249.0</v>
      </c>
      <c r="B177" s="13" t="s">
        <v>618</v>
      </c>
      <c r="C177" s="13" t="s">
        <v>157</v>
      </c>
      <c r="D177" s="18">
        <v>16000.0</v>
      </c>
      <c r="E177" s="13">
        <v>16000.0</v>
      </c>
      <c r="F177" s="35">
        <v>46259.0</v>
      </c>
      <c r="G177" s="13" t="s">
        <v>55</v>
      </c>
      <c r="H177" s="45" t="s">
        <v>56</v>
      </c>
      <c r="J177" s="128"/>
    </row>
    <row r="178">
      <c r="A178" s="30">
        <v>46249.0</v>
      </c>
      <c r="B178" s="13" t="s">
        <v>39</v>
      </c>
      <c r="C178" s="13" t="s">
        <v>623</v>
      </c>
      <c r="D178" s="232">
        <v>49484.0</v>
      </c>
      <c r="E178" s="13">
        <v>49484.0</v>
      </c>
      <c r="F178" s="35">
        <v>46263.0</v>
      </c>
      <c r="G178" s="13" t="s">
        <v>55</v>
      </c>
      <c r="H178" s="94" t="s">
        <v>42</v>
      </c>
      <c r="I178" s="7" t="s">
        <v>625</v>
      </c>
      <c r="J178" s="128"/>
    </row>
    <row r="179">
      <c r="A179" s="30">
        <v>46249.0</v>
      </c>
      <c r="B179" s="13" t="s">
        <v>33</v>
      </c>
      <c r="C179" s="13" t="s">
        <v>628</v>
      </c>
      <c r="D179" s="232">
        <v>55178.0</v>
      </c>
      <c r="E179" s="13">
        <v>55148.0</v>
      </c>
      <c r="F179" s="35">
        <v>46266.0</v>
      </c>
      <c r="G179" s="13" t="s">
        <v>55</v>
      </c>
      <c r="H179" s="45" t="s">
        <v>42</v>
      </c>
      <c r="J179" s="128"/>
    </row>
    <row r="180">
      <c r="A180" s="89">
        <v>46249.0</v>
      </c>
      <c r="B180" s="65" t="s">
        <v>629</v>
      </c>
      <c r="C180" s="65" t="s">
        <v>630</v>
      </c>
      <c r="D180" s="236">
        <v>37928.7</v>
      </c>
      <c r="E180" s="65">
        <v>37929.0</v>
      </c>
      <c r="F180" s="238" t="s">
        <v>142</v>
      </c>
      <c r="G180" s="238" t="s">
        <v>142</v>
      </c>
      <c r="H180" s="239"/>
      <c r="I180" s="7" t="s">
        <v>632</v>
      </c>
      <c r="J180" s="128"/>
    </row>
    <row r="181">
      <c r="A181" s="151">
        <v>46249.0</v>
      </c>
      <c r="B181" s="88" t="s">
        <v>633</v>
      </c>
      <c r="C181" s="88" t="s">
        <v>634</v>
      </c>
      <c r="D181" s="91">
        <v>34200.0</v>
      </c>
      <c r="E181" s="88">
        <v>34200.0</v>
      </c>
      <c r="F181" s="154">
        <v>46259.0</v>
      </c>
      <c r="G181" s="88" t="s">
        <v>55</v>
      </c>
      <c r="H181" s="45" t="s">
        <v>56</v>
      </c>
      <c r="I181" s="201"/>
      <c r="J181" s="204"/>
    </row>
    <row r="182">
      <c r="A182" s="10">
        <v>46250.0</v>
      </c>
      <c r="B182" s="12" t="s">
        <v>10</v>
      </c>
      <c r="C182" s="179" t="s">
        <v>449</v>
      </c>
      <c r="D182" s="16">
        <v>105.0</v>
      </c>
      <c r="E182" s="16">
        <v>105.0</v>
      </c>
      <c r="F182" s="240">
        <v>46250.0</v>
      </c>
      <c r="G182" s="95" t="s">
        <v>14</v>
      </c>
      <c r="H182" s="69" t="s">
        <v>17</v>
      </c>
      <c r="I182" s="25"/>
      <c r="J182" s="27"/>
    </row>
    <row r="183">
      <c r="A183" s="30">
        <v>46250.0</v>
      </c>
      <c r="B183" s="13" t="s">
        <v>25</v>
      </c>
      <c r="C183" s="13" t="s">
        <v>89</v>
      </c>
      <c r="D183" s="18">
        <v>105.0</v>
      </c>
      <c r="E183" s="18">
        <v>105.0</v>
      </c>
      <c r="F183" s="35">
        <v>46250.0</v>
      </c>
      <c r="G183" s="13" t="s">
        <v>14</v>
      </c>
      <c r="H183" s="36" t="s">
        <v>17</v>
      </c>
      <c r="I183" s="21"/>
      <c r="J183" s="38"/>
    </row>
    <row r="184">
      <c r="A184" s="30">
        <v>46250.0</v>
      </c>
      <c r="B184" s="13" t="s">
        <v>50</v>
      </c>
      <c r="C184" s="13" t="s">
        <v>639</v>
      </c>
      <c r="D184" s="18">
        <v>500.0</v>
      </c>
      <c r="E184" s="18">
        <v>500.0</v>
      </c>
      <c r="F184" s="35">
        <v>46250.0</v>
      </c>
      <c r="G184" s="13" t="s">
        <v>14</v>
      </c>
      <c r="H184" s="36" t="s">
        <v>17</v>
      </c>
      <c r="I184" s="13" t="s">
        <v>641</v>
      </c>
      <c r="J184" s="38"/>
    </row>
    <row r="185">
      <c r="A185" s="30">
        <v>46250.0</v>
      </c>
      <c r="B185" s="13" t="s">
        <v>38</v>
      </c>
      <c r="C185" s="13" t="s">
        <v>643</v>
      </c>
      <c r="D185" s="18">
        <v>1000.0</v>
      </c>
      <c r="E185" s="18">
        <v>1000.0</v>
      </c>
      <c r="F185" s="35">
        <v>46250.0</v>
      </c>
      <c r="G185" s="13" t="s">
        <v>14</v>
      </c>
      <c r="H185" s="36" t="s">
        <v>17</v>
      </c>
      <c r="I185" s="21"/>
      <c r="J185" s="38"/>
    </row>
    <row r="186">
      <c r="A186" s="30">
        <v>46250.0</v>
      </c>
      <c r="B186" s="13" t="s">
        <v>50</v>
      </c>
      <c r="C186" s="13" t="s">
        <v>645</v>
      </c>
      <c r="D186" s="18">
        <v>800.0</v>
      </c>
      <c r="E186" s="18">
        <v>800.0</v>
      </c>
      <c r="F186" s="35">
        <v>46250.0</v>
      </c>
      <c r="G186" s="13" t="s">
        <v>14</v>
      </c>
      <c r="H186" s="36" t="s">
        <v>17</v>
      </c>
      <c r="I186" s="21"/>
      <c r="J186" s="38"/>
    </row>
    <row r="187">
      <c r="A187" s="30">
        <v>46250.0</v>
      </c>
      <c r="B187" s="13" t="s">
        <v>217</v>
      </c>
      <c r="C187" s="13" t="s">
        <v>649</v>
      </c>
      <c r="D187" s="18">
        <v>1776.0</v>
      </c>
      <c r="E187" s="18">
        <v>1776.0</v>
      </c>
      <c r="F187" s="35">
        <v>46250.0</v>
      </c>
      <c r="G187" s="13" t="s">
        <v>14</v>
      </c>
      <c r="H187" s="36" t="s">
        <v>17</v>
      </c>
      <c r="I187" s="21"/>
      <c r="J187" s="38"/>
    </row>
    <row r="188">
      <c r="A188" s="30">
        <v>46250.0</v>
      </c>
      <c r="B188" s="13" t="s">
        <v>50</v>
      </c>
      <c r="C188" s="13" t="s">
        <v>652</v>
      </c>
      <c r="D188" s="18">
        <v>305.0</v>
      </c>
      <c r="E188" s="18">
        <v>305.0</v>
      </c>
      <c r="F188" s="35">
        <v>46250.0</v>
      </c>
      <c r="G188" s="13" t="s">
        <v>14</v>
      </c>
      <c r="H188" s="36" t="s">
        <v>17</v>
      </c>
      <c r="I188" s="21"/>
      <c r="J188" s="38"/>
    </row>
    <row r="189">
      <c r="A189" s="30">
        <v>46250.0</v>
      </c>
      <c r="B189" s="13" t="s">
        <v>38</v>
      </c>
      <c r="C189" s="13" t="s">
        <v>40</v>
      </c>
      <c r="D189" s="18">
        <v>1000.0</v>
      </c>
      <c r="E189" s="18">
        <v>1000.0</v>
      </c>
      <c r="F189" s="35">
        <v>46250.0</v>
      </c>
      <c r="G189" s="13" t="s">
        <v>14</v>
      </c>
      <c r="H189" s="36" t="s">
        <v>17</v>
      </c>
      <c r="I189" s="21"/>
      <c r="J189" s="38"/>
    </row>
    <row r="190">
      <c r="A190" s="30">
        <v>46250.0</v>
      </c>
      <c r="B190" s="13" t="s">
        <v>38</v>
      </c>
      <c r="C190" s="13" t="s">
        <v>111</v>
      </c>
      <c r="D190" s="18">
        <v>1000.0</v>
      </c>
      <c r="E190" s="18">
        <v>1000.0</v>
      </c>
      <c r="F190" s="35">
        <v>46250.0</v>
      </c>
      <c r="G190" s="13" t="s">
        <v>14</v>
      </c>
      <c r="H190" s="36" t="s">
        <v>17</v>
      </c>
      <c r="I190" s="21"/>
      <c r="J190" s="38"/>
    </row>
    <row r="191">
      <c r="A191" s="30">
        <v>46250.0</v>
      </c>
      <c r="B191" s="13" t="s">
        <v>101</v>
      </c>
      <c r="C191" s="81" t="s">
        <v>464</v>
      </c>
      <c r="D191" s="18">
        <v>1000.0</v>
      </c>
      <c r="E191" s="18">
        <v>1000.0</v>
      </c>
      <c r="F191" s="35">
        <v>46250.0</v>
      </c>
      <c r="G191" s="13" t="s">
        <v>14</v>
      </c>
      <c r="H191" s="36" t="s">
        <v>17</v>
      </c>
      <c r="I191" s="21"/>
      <c r="J191" s="38"/>
    </row>
    <row r="192">
      <c r="A192" s="30">
        <v>46250.0</v>
      </c>
      <c r="B192" s="13" t="s">
        <v>179</v>
      </c>
      <c r="C192" s="13" t="s">
        <v>662</v>
      </c>
      <c r="D192" s="18">
        <v>102000.0</v>
      </c>
      <c r="E192" s="13">
        <v>23000.0</v>
      </c>
      <c r="F192" s="35">
        <v>46250.0</v>
      </c>
      <c r="G192" s="13" t="s">
        <v>55</v>
      </c>
      <c r="H192" s="45" t="s">
        <v>56</v>
      </c>
      <c r="I192" s="21"/>
      <c r="J192" s="38"/>
    </row>
    <row r="193">
      <c r="A193" s="89"/>
      <c r="B193" s="65"/>
      <c r="C193" s="65"/>
      <c r="D193" s="70"/>
      <c r="E193" s="65">
        <v>79000.0</v>
      </c>
      <c r="F193" s="92">
        <v>46250.0</v>
      </c>
      <c r="G193" s="13" t="s">
        <v>55</v>
      </c>
      <c r="H193" s="94" t="s">
        <v>42</v>
      </c>
      <c r="I193" s="97"/>
      <c r="J193" s="73"/>
    </row>
    <row r="194">
      <c r="A194" s="151">
        <v>46250.0</v>
      </c>
      <c r="B194" s="88" t="s">
        <v>401</v>
      </c>
      <c r="C194" s="88" t="s">
        <v>665</v>
      </c>
      <c r="D194" s="91">
        <v>33990.0</v>
      </c>
      <c r="E194" s="88">
        <v>33990.0</v>
      </c>
      <c r="F194" s="154">
        <v>46254.0</v>
      </c>
      <c r="G194" s="88" t="s">
        <v>55</v>
      </c>
      <c r="H194" s="249" t="s">
        <v>42</v>
      </c>
      <c r="I194" s="57"/>
      <c r="J194" s="64"/>
    </row>
    <row r="195">
      <c r="A195" s="10">
        <v>46251.0</v>
      </c>
      <c r="B195" s="12" t="s">
        <v>10</v>
      </c>
      <c r="C195" s="179" t="s">
        <v>449</v>
      </c>
      <c r="D195" s="16">
        <v>105.0</v>
      </c>
      <c r="E195" s="16">
        <v>105.0</v>
      </c>
      <c r="F195" s="240">
        <v>46251.0</v>
      </c>
      <c r="G195" s="41" t="s">
        <v>14</v>
      </c>
      <c r="H195" s="69" t="s">
        <v>17</v>
      </c>
      <c r="I195" s="25"/>
      <c r="J195" s="27"/>
      <c r="M195" s="251">
        <v>1000.0</v>
      </c>
      <c r="N195" s="251">
        <v>22.0</v>
      </c>
      <c r="O195" s="252">
        <f t="shared" ref="O195:O201" si="3">SUM(M195*N195)</f>
        <v>22000</v>
      </c>
      <c r="P195" s="252"/>
    </row>
    <row r="196">
      <c r="A196" s="30">
        <v>46251.0</v>
      </c>
      <c r="B196" s="13" t="s">
        <v>25</v>
      </c>
      <c r="C196" s="13" t="s">
        <v>681</v>
      </c>
      <c r="D196" s="18">
        <v>35.0</v>
      </c>
      <c r="E196" s="18">
        <v>35.0</v>
      </c>
      <c r="F196" s="35">
        <v>46251.0</v>
      </c>
      <c r="G196" s="13" t="s">
        <v>14</v>
      </c>
      <c r="H196" s="36" t="s">
        <v>17</v>
      </c>
      <c r="I196" s="21"/>
      <c r="J196" s="38"/>
      <c r="M196" s="251">
        <v>500.0</v>
      </c>
      <c r="N196" s="251">
        <v>4.0</v>
      </c>
      <c r="O196" s="252">
        <f t="shared" si="3"/>
        <v>2000</v>
      </c>
      <c r="P196" s="252"/>
    </row>
    <row r="197">
      <c r="A197" s="30">
        <v>46251.0</v>
      </c>
      <c r="B197" s="13" t="s">
        <v>248</v>
      </c>
      <c r="C197" s="13" t="s">
        <v>686</v>
      </c>
      <c r="D197" s="18">
        <v>50.0</v>
      </c>
      <c r="E197" s="18">
        <v>50.0</v>
      </c>
      <c r="F197" s="35">
        <v>46251.0</v>
      </c>
      <c r="G197" s="13" t="s">
        <v>14</v>
      </c>
      <c r="H197" s="36" t="s">
        <v>17</v>
      </c>
      <c r="I197" s="21"/>
      <c r="J197" s="38"/>
      <c r="M197" s="251">
        <v>100.0</v>
      </c>
      <c r="N197" s="251">
        <v>78.0</v>
      </c>
      <c r="O197" s="252">
        <f t="shared" si="3"/>
        <v>7800</v>
      </c>
      <c r="P197" s="252"/>
    </row>
    <row r="198">
      <c r="A198" s="30">
        <v>46251.0</v>
      </c>
      <c r="B198" s="13" t="s">
        <v>334</v>
      </c>
      <c r="C198" s="13" t="s">
        <v>691</v>
      </c>
      <c r="D198" s="18">
        <v>30.0</v>
      </c>
      <c r="E198" s="18">
        <v>30.0</v>
      </c>
      <c r="F198" s="35">
        <v>46251.0</v>
      </c>
      <c r="G198" s="13" t="s">
        <v>14</v>
      </c>
      <c r="H198" s="36" t="s">
        <v>17</v>
      </c>
      <c r="I198" s="21"/>
      <c r="J198" s="38"/>
      <c r="M198" s="251">
        <v>50.0</v>
      </c>
      <c r="N198" s="251">
        <v>0.0</v>
      </c>
      <c r="O198" s="252">
        <f t="shared" si="3"/>
        <v>0</v>
      </c>
      <c r="P198" s="252"/>
    </row>
    <row r="199">
      <c r="A199" s="30">
        <v>46251.0</v>
      </c>
      <c r="B199" s="13" t="s">
        <v>542</v>
      </c>
      <c r="C199" s="13" t="s">
        <v>694</v>
      </c>
      <c r="D199" s="18">
        <v>5562.0</v>
      </c>
      <c r="E199" s="18">
        <v>5562.0</v>
      </c>
      <c r="F199" s="35">
        <v>46251.0</v>
      </c>
      <c r="G199" s="13" t="s">
        <v>14</v>
      </c>
      <c r="H199" s="36" t="s">
        <v>17</v>
      </c>
      <c r="I199" s="21"/>
      <c r="J199" s="38"/>
      <c r="M199" s="251">
        <v>20.0</v>
      </c>
      <c r="N199" s="251">
        <v>87.0</v>
      </c>
      <c r="O199" s="252">
        <f t="shared" si="3"/>
        <v>1740</v>
      </c>
      <c r="P199" s="252"/>
    </row>
    <row r="200">
      <c r="A200" s="30">
        <v>46251.0</v>
      </c>
      <c r="B200" s="13" t="s">
        <v>38</v>
      </c>
      <c r="C200" s="13" t="s">
        <v>40</v>
      </c>
      <c r="D200" s="18">
        <v>1000.0</v>
      </c>
      <c r="E200" s="18">
        <v>1000.0</v>
      </c>
      <c r="F200" s="35">
        <v>46251.0</v>
      </c>
      <c r="G200" s="13" t="s">
        <v>14</v>
      </c>
      <c r="H200" s="36" t="s">
        <v>17</v>
      </c>
      <c r="I200" s="21"/>
      <c r="J200" s="38"/>
      <c r="M200" s="251">
        <v>5397.0</v>
      </c>
      <c r="N200" s="251">
        <v>1.0</v>
      </c>
      <c r="O200" s="252">
        <f t="shared" si="3"/>
        <v>5397</v>
      </c>
      <c r="P200" s="252"/>
    </row>
    <row r="201">
      <c r="A201" s="30">
        <v>46251.0</v>
      </c>
      <c r="B201" s="13" t="s">
        <v>63</v>
      </c>
      <c r="C201" s="13" t="s">
        <v>709</v>
      </c>
      <c r="D201" s="18">
        <v>18000.0</v>
      </c>
      <c r="E201" s="18">
        <v>18000.0</v>
      </c>
      <c r="F201" s="35">
        <v>46251.0</v>
      </c>
      <c r="G201" s="13" t="s">
        <v>14</v>
      </c>
      <c r="H201" s="36" t="s">
        <v>17</v>
      </c>
      <c r="I201" s="21"/>
      <c r="J201" s="38"/>
      <c r="O201" s="252">
        <f t="shared" si="3"/>
        <v>0</v>
      </c>
      <c r="P201" s="252"/>
    </row>
    <row r="202">
      <c r="A202" s="89">
        <v>46251.0</v>
      </c>
      <c r="B202" s="65" t="s">
        <v>179</v>
      </c>
      <c r="C202" s="13" t="s">
        <v>714</v>
      </c>
      <c r="D202" s="18">
        <v>14100.0</v>
      </c>
      <c r="E202" s="18">
        <v>14100.0</v>
      </c>
      <c r="F202" s="35">
        <v>46251.0</v>
      </c>
      <c r="G202" s="13" t="s">
        <v>14</v>
      </c>
      <c r="H202" s="36" t="s">
        <v>17</v>
      </c>
      <c r="I202" s="97"/>
      <c r="J202" s="73"/>
      <c r="O202" s="252">
        <f>SUM(O195:O201)</f>
        <v>38937</v>
      </c>
      <c r="P202" s="257" t="s">
        <v>720</v>
      </c>
    </row>
    <row r="203">
      <c r="A203" s="151">
        <v>46251.0</v>
      </c>
      <c r="B203" s="88" t="s">
        <v>106</v>
      </c>
      <c r="C203" s="88" t="s">
        <v>722</v>
      </c>
      <c r="D203" s="91">
        <v>9960.0</v>
      </c>
      <c r="E203" s="88">
        <v>9960.0</v>
      </c>
      <c r="F203" s="154">
        <v>46253.0</v>
      </c>
      <c r="G203" s="65" t="s">
        <v>55</v>
      </c>
      <c r="H203" s="249" t="s">
        <v>42</v>
      </c>
      <c r="I203" s="57"/>
      <c r="J203" s="64"/>
      <c r="M203" s="251" t="s">
        <v>724</v>
      </c>
      <c r="N203" s="257" t="s">
        <v>725</v>
      </c>
      <c r="O203" s="257">
        <v>-19.0</v>
      </c>
      <c r="P203" s="252"/>
    </row>
    <row r="204">
      <c r="A204" s="218">
        <v>46252.0</v>
      </c>
      <c r="B204" s="12" t="s">
        <v>10</v>
      </c>
      <c r="C204" s="179" t="s">
        <v>449</v>
      </c>
      <c r="D204" s="16">
        <v>105.0</v>
      </c>
      <c r="E204" s="259">
        <v>105.0</v>
      </c>
      <c r="F204" s="218">
        <v>46252.0</v>
      </c>
      <c r="G204" s="95" t="s">
        <v>14</v>
      </c>
      <c r="H204" s="69" t="s">
        <v>17</v>
      </c>
      <c r="I204" s="220"/>
      <c r="J204" s="32"/>
      <c r="M204" s="252"/>
      <c r="N204" s="257" t="s">
        <v>728</v>
      </c>
      <c r="O204" s="257">
        <v>-34.0</v>
      </c>
      <c r="P204" s="252"/>
    </row>
    <row r="205">
      <c r="A205" s="30">
        <v>46252.0</v>
      </c>
      <c r="B205" s="13" t="s">
        <v>25</v>
      </c>
      <c r="C205" s="13" t="s">
        <v>681</v>
      </c>
      <c r="D205" s="18">
        <v>35.0</v>
      </c>
      <c r="E205" s="13">
        <v>35.0</v>
      </c>
      <c r="F205" s="35">
        <v>46252.0</v>
      </c>
      <c r="G205" s="13" t="s">
        <v>14</v>
      </c>
      <c r="H205" s="36" t="s">
        <v>17</v>
      </c>
      <c r="I205" s="21"/>
      <c r="J205" s="38"/>
      <c r="M205" s="265" t="s">
        <v>730</v>
      </c>
      <c r="O205" s="114">
        <f>SUM(O202:O204)</f>
        <v>38884</v>
      </c>
    </row>
    <row r="206">
      <c r="A206" s="30">
        <v>46252.0</v>
      </c>
      <c r="B206" s="13" t="s">
        <v>248</v>
      </c>
      <c r="C206" s="13" t="s">
        <v>735</v>
      </c>
      <c r="D206" s="18">
        <v>190.0</v>
      </c>
      <c r="E206" s="13">
        <v>190.0</v>
      </c>
      <c r="F206" s="35">
        <v>46252.0</v>
      </c>
      <c r="G206" s="13" t="s">
        <v>14</v>
      </c>
      <c r="H206" s="36" t="s">
        <v>17</v>
      </c>
      <c r="I206" s="21"/>
      <c r="J206" s="38"/>
    </row>
    <row r="207">
      <c r="A207" s="30">
        <v>46252.0</v>
      </c>
      <c r="B207" s="13" t="s">
        <v>38</v>
      </c>
      <c r="C207" s="13" t="s">
        <v>175</v>
      </c>
      <c r="D207" s="18">
        <v>1000.0</v>
      </c>
      <c r="E207" s="13">
        <v>1000.0</v>
      </c>
      <c r="F207" s="35">
        <v>46252.0</v>
      </c>
      <c r="G207" s="13" t="s">
        <v>14</v>
      </c>
      <c r="H207" s="36" t="s">
        <v>17</v>
      </c>
      <c r="I207" s="21"/>
      <c r="J207" s="38"/>
      <c r="N207" s="48" t="s">
        <v>65</v>
      </c>
      <c r="O207" s="48" t="s">
        <v>70</v>
      </c>
    </row>
    <row r="208">
      <c r="A208" s="30">
        <v>46252.0</v>
      </c>
      <c r="B208" s="13" t="s">
        <v>38</v>
      </c>
      <c r="C208" s="13" t="s">
        <v>111</v>
      </c>
      <c r="D208" s="18">
        <v>1000.0</v>
      </c>
      <c r="E208" s="13">
        <v>1000.0</v>
      </c>
      <c r="F208" s="35">
        <v>46252.0</v>
      </c>
      <c r="G208" s="13" t="s">
        <v>14</v>
      </c>
      <c r="H208" s="36" t="s">
        <v>17</v>
      </c>
      <c r="I208" s="21"/>
      <c r="J208" s="38"/>
      <c r="M208" s="7" t="s">
        <v>73</v>
      </c>
      <c r="N208" s="52">
        <v>113819.0</v>
      </c>
      <c r="O208" s="52">
        <v>73275.0</v>
      </c>
    </row>
    <row r="209">
      <c r="A209" s="30">
        <v>46252.0</v>
      </c>
      <c r="B209" s="13" t="s">
        <v>48</v>
      </c>
      <c r="C209" s="13" t="s">
        <v>739</v>
      </c>
      <c r="D209" s="18">
        <v>4075.0</v>
      </c>
      <c r="E209" s="13">
        <v>4075.0</v>
      </c>
      <c r="F209" s="35">
        <v>46252.0</v>
      </c>
      <c r="G209" s="13" t="s">
        <v>14</v>
      </c>
      <c r="H209" s="36" t="s">
        <v>17</v>
      </c>
      <c r="I209" s="21"/>
      <c r="J209" s="38"/>
      <c r="M209" s="7" t="s">
        <v>78</v>
      </c>
      <c r="N209" s="52">
        <v>541548.0</v>
      </c>
      <c r="O209" s="52">
        <v>540005.0</v>
      </c>
    </row>
    <row r="210">
      <c r="A210" s="30">
        <v>46252.0</v>
      </c>
      <c r="B210" s="13" t="s">
        <v>740</v>
      </c>
      <c r="C210" s="13" t="s">
        <v>741</v>
      </c>
      <c r="D210" s="7">
        <v>380.0</v>
      </c>
      <c r="E210" s="13">
        <v>380.0</v>
      </c>
      <c r="F210" s="35">
        <v>46252.0</v>
      </c>
      <c r="G210" s="13" t="s">
        <v>14</v>
      </c>
      <c r="H210" s="36" t="s">
        <v>17</v>
      </c>
      <c r="I210" s="21"/>
      <c r="J210" s="38"/>
      <c r="M210" s="7" t="s">
        <v>742</v>
      </c>
      <c r="N210" s="52">
        <v>358690.0</v>
      </c>
      <c r="O210" s="52">
        <v>363328.0</v>
      </c>
    </row>
    <row r="211">
      <c r="A211" s="30">
        <v>46252.0</v>
      </c>
      <c r="B211" s="13" t="s">
        <v>225</v>
      </c>
      <c r="C211" s="13" t="s">
        <v>599</v>
      </c>
      <c r="D211" s="18">
        <v>1680.0</v>
      </c>
      <c r="E211" s="13">
        <v>1680.0</v>
      </c>
      <c r="F211" s="35">
        <v>46252.0</v>
      </c>
      <c r="G211" s="13" t="s">
        <v>55</v>
      </c>
      <c r="H211" s="45" t="s">
        <v>42</v>
      </c>
      <c r="I211" s="13" t="s">
        <v>746</v>
      </c>
      <c r="J211" s="38"/>
      <c r="N211" s="74">
        <f t="shared" ref="N211:O211" si="4">SUM(N208:N210)</f>
        <v>1014057</v>
      </c>
      <c r="O211" s="74">
        <f t="shared" si="4"/>
        <v>976608</v>
      </c>
    </row>
    <row r="212">
      <c r="A212" s="30">
        <v>46252.0</v>
      </c>
      <c r="B212" s="13" t="s">
        <v>225</v>
      </c>
      <c r="C212" s="13" t="s">
        <v>502</v>
      </c>
      <c r="D212" s="18">
        <v>10800.0</v>
      </c>
      <c r="E212" s="13">
        <v>10800.0</v>
      </c>
      <c r="F212" s="35">
        <v>46252.0</v>
      </c>
      <c r="G212" s="13" t="s">
        <v>55</v>
      </c>
      <c r="H212" s="45" t="s">
        <v>42</v>
      </c>
      <c r="I212" s="13" t="s">
        <v>746</v>
      </c>
      <c r="J212" s="38"/>
      <c r="O212" s="79">
        <f>N211-O211</f>
        <v>37449</v>
      </c>
    </row>
    <row r="213">
      <c r="A213" s="30">
        <v>46252.0</v>
      </c>
      <c r="B213" s="13" t="s">
        <v>43</v>
      </c>
      <c r="C213" s="13" t="s">
        <v>757</v>
      </c>
      <c r="D213" s="18">
        <v>33300.0</v>
      </c>
      <c r="E213" s="18">
        <v>33300.0</v>
      </c>
      <c r="F213" s="35">
        <v>46259.0</v>
      </c>
      <c r="G213" s="13" t="s">
        <v>55</v>
      </c>
      <c r="H213" s="45" t="s">
        <v>56</v>
      </c>
      <c r="I213" s="21"/>
      <c r="J213" s="38"/>
    </row>
    <row r="214">
      <c r="A214" s="30">
        <v>46252.0</v>
      </c>
      <c r="B214" s="13" t="s">
        <v>118</v>
      </c>
      <c r="C214" s="13" t="s">
        <v>760</v>
      </c>
      <c r="D214" s="18">
        <v>3540.0</v>
      </c>
      <c r="E214" s="13">
        <v>3540.0</v>
      </c>
      <c r="F214" s="35">
        <v>46251.0</v>
      </c>
      <c r="G214" s="13" t="s">
        <v>55</v>
      </c>
      <c r="H214" s="45" t="s">
        <v>42</v>
      </c>
      <c r="I214" s="21"/>
      <c r="J214" s="38"/>
    </row>
    <row r="215">
      <c r="A215" s="30">
        <v>46252.0</v>
      </c>
      <c r="B215" s="13" t="s">
        <v>217</v>
      </c>
      <c r="C215" s="13" t="s">
        <v>764</v>
      </c>
      <c r="D215" s="18">
        <v>11856.0</v>
      </c>
      <c r="E215" s="13">
        <v>11856.0</v>
      </c>
      <c r="F215" s="35">
        <v>46253.0</v>
      </c>
      <c r="G215" s="13" t="s">
        <v>55</v>
      </c>
      <c r="H215" s="45" t="s">
        <v>42</v>
      </c>
      <c r="I215" s="21"/>
      <c r="J215" s="38"/>
    </row>
    <row r="216">
      <c r="A216" s="151">
        <v>46252.0</v>
      </c>
      <c r="B216" s="88" t="s">
        <v>767</v>
      </c>
      <c r="C216" s="88" t="s">
        <v>770</v>
      </c>
      <c r="D216" s="91">
        <v>854.0</v>
      </c>
      <c r="E216" s="88">
        <v>854.0</v>
      </c>
      <c r="F216" s="154">
        <v>46253.0</v>
      </c>
      <c r="G216" s="88" t="s">
        <v>55</v>
      </c>
      <c r="H216" s="249" t="s">
        <v>42</v>
      </c>
      <c r="I216" s="57"/>
      <c r="J216" s="64"/>
    </row>
    <row r="217">
      <c r="A217" s="10">
        <v>46253.0</v>
      </c>
      <c r="B217" s="12" t="s">
        <v>10</v>
      </c>
      <c r="C217" s="179" t="s">
        <v>449</v>
      </c>
      <c r="D217" s="16">
        <v>105.0</v>
      </c>
      <c r="E217" s="16">
        <v>105.0</v>
      </c>
      <c r="F217" s="67">
        <v>46253.0</v>
      </c>
      <c r="G217" s="95" t="s">
        <v>14</v>
      </c>
      <c r="H217" s="69" t="s">
        <v>17</v>
      </c>
      <c r="I217" s="25"/>
      <c r="J217" s="27"/>
      <c r="N217" s="7">
        <v>1000.0</v>
      </c>
      <c r="O217" s="7">
        <v>21.0</v>
      </c>
      <c r="P217" s="39">
        <f t="shared" ref="P217:P221" si="5">N217*O217</f>
        <v>21000</v>
      </c>
    </row>
    <row r="218">
      <c r="A218" s="30">
        <v>46253.0</v>
      </c>
      <c r="B218" s="13" t="s">
        <v>25</v>
      </c>
      <c r="C218" s="13" t="s">
        <v>681</v>
      </c>
      <c r="D218" s="18">
        <v>35.0</v>
      </c>
      <c r="E218" s="18">
        <v>35.0</v>
      </c>
      <c r="F218" s="35">
        <v>46253.0</v>
      </c>
      <c r="G218" s="13" t="s">
        <v>14</v>
      </c>
      <c r="H218" s="36" t="s">
        <v>17</v>
      </c>
      <c r="I218" s="21"/>
      <c r="J218" s="38"/>
      <c r="N218" s="7">
        <v>500.0</v>
      </c>
      <c r="O218" s="7">
        <v>5.0</v>
      </c>
      <c r="P218" s="39">
        <f t="shared" si="5"/>
        <v>2500</v>
      </c>
    </row>
    <row r="219">
      <c r="A219" s="30">
        <v>46253.0</v>
      </c>
      <c r="B219" s="13" t="s">
        <v>158</v>
      </c>
      <c r="C219" s="13" t="s">
        <v>77</v>
      </c>
      <c r="D219" s="18">
        <v>4900.0</v>
      </c>
      <c r="E219" s="18">
        <v>4900.0</v>
      </c>
      <c r="F219" s="35">
        <v>46253.0</v>
      </c>
      <c r="G219" s="13" t="s">
        <v>14</v>
      </c>
      <c r="H219" s="36" t="s">
        <v>17</v>
      </c>
      <c r="I219" s="21"/>
      <c r="J219" s="38"/>
      <c r="N219" s="7">
        <v>100.0</v>
      </c>
      <c r="O219" s="7">
        <v>73.0</v>
      </c>
      <c r="P219" s="39">
        <f t="shared" si="5"/>
        <v>7300</v>
      </c>
    </row>
    <row r="220">
      <c r="A220" s="30">
        <v>46253.0</v>
      </c>
      <c r="B220" s="13" t="s">
        <v>160</v>
      </c>
      <c r="C220" s="13" t="s">
        <v>775</v>
      </c>
      <c r="D220" s="18">
        <v>10092.0</v>
      </c>
      <c r="E220" s="18">
        <v>10092.0</v>
      </c>
      <c r="F220" s="35">
        <v>46253.0</v>
      </c>
      <c r="G220" s="13" t="s">
        <v>14</v>
      </c>
      <c r="H220" s="36" t="s">
        <v>17</v>
      </c>
      <c r="I220" s="21"/>
      <c r="J220" s="38"/>
      <c r="N220" s="7">
        <v>50.0</v>
      </c>
      <c r="O220" s="7">
        <v>3.0</v>
      </c>
      <c r="P220" s="39">
        <f t="shared" si="5"/>
        <v>150</v>
      </c>
    </row>
    <row r="221">
      <c r="A221" s="30">
        <v>46253.0</v>
      </c>
      <c r="B221" s="13" t="s">
        <v>562</v>
      </c>
      <c r="C221" s="13" t="s">
        <v>777</v>
      </c>
      <c r="D221" s="18">
        <v>540.0</v>
      </c>
      <c r="E221" s="13">
        <v>540.0</v>
      </c>
      <c r="F221" s="35">
        <v>46253.0</v>
      </c>
      <c r="G221" s="13" t="s">
        <v>14</v>
      </c>
      <c r="H221" s="36" t="s">
        <v>17</v>
      </c>
      <c r="I221" s="21"/>
      <c r="J221" s="38"/>
      <c r="N221" s="7">
        <v>20.0</v>
      </c>
      <c r="O221" s="7">
        <v>85.0</v>
      </c>
      <c r="P221" s="39">
        <f t="shared" si="5"/>
        <v>1700</v>
      </c>
    </row>
    <row r="222">
      <c r="A222" s="30">
        <v>46253.0</v>
      </c>
      <c r="B222" s="13" t="s">
        <v>288</v>
      </c>
      <c r="C222" s="13" t="s">
        <v>778</v>
      </c>
      <c r="D222" s="18">
        <v>6000.0</v>
      </c>
      <c r="E222" s="13">
        <v>6000.0</v>
      </c>
      <c r="F222" s="35">
        <v>46253.0</v>
      </c>
      <c r="G222" s="13" t="s">
        <v>14</v>
      </c>
      <c r="H222" s="36" t="s">
        <v>17</v>
      </c>
      <c r="I222" s="21"/>
      <c r="J222" s="38"/>
      <c r="N222" s="7" t="s">
        <v>137</v>
      </c>
      <c r="P222" s="7">
        <v>6200.0</v>
      </c>
    </row>
    <row r="223">
      <c r="A223" s="30">
        <v>46253.0</v>
      </c>
      <c r="B223" s="13" t="s">
        <v>38</v>
      </c>
      <c r="C223" s="13" t="s">
        <v>111</v>
      </c>
      <c r="D223" s="18">
        <v>1950.0</v>
      </c>
      <c r="E223" s="13">
        <v>1950.0</v>
      </c>
      <c r="F223" s="35">
        <v>46253.0</v>
      </c>
      <c r="G223" s="13" t="s">
        <v>14</v>
      </c>
      <c r="H223" s="36" t="s">
        <v>17</v>
      </c>
      <c r="I223" s="21"/>
      <c r="J223" s="38"/>
      <c r="N223" s="7"/>
      <c r="P223" s="7"/>
    </row>
    <row r="224">
      <c r="A224" s="30">
        <v>46253.0</v>
      </c>
      <c r="B224" s="13" t="s">
        <v>38</v>
      </c>
      <c r="C224" s="13" t="s">
        <v>40</v>
      </c>
      <c r="D224" s="18">
        <v>975.0</v>
      </c>
      <c r="E224" s="13">
        <v>975.0</v>
      </c>
      <c r="F224" s="35">
        <v>46253.0</v>
      </c>
      <c r="G224" s="13" t="s">
        <v>14</v>
      </c>
      <c r="H224" s="36" t="s">
        <v>17</v>
      </c>
      <c r="I224" s="21"/>
      <c r="J224" s="38"/>
      <c r="N224" s="7" t="s">
        <v>137</v>
      </c>
      <c r="P224" s="7">
        <v>87.0</v>
      </c>
    </row>
    <row r="225">
      <c r="A225" s="30">
        <v>46253.0</v>
      </c>
      <c r="B225" s="13" t="s">
        <v>101</v>
      </c>
      <c r="C225" s="81" t="s">
        <v>103</v>
      </c>
      <c r="D225" s="18">
        <v>3000.0</v>
      </c>
      <c r="E225" s="13">
        <v>3000.0</v>
      </c>
      <c r="F225" s="35">
        <v>46253.0</v>
      </c>
      <c r="G225" s="13" t="s">
        <v>14</v>
      </c>
      <c r="H225" s="36" t="s">
        <v>17</v>
      </c>
      <c r="I225" s="21"/>
      <c r="J225" s="38"/>
      <c r="N225" s="7"/>
      <c r="P225" s="7"/>
    </row>
    <row r="226">
      <c r="A226" s="30">
        <v>46253.0</v>
      </c>
      <c r="B226" s="13" t="s">
        <v>101</v>
      </c>
      <c r="C226" s="81" t="s">
        <v>464</v>
      </c>
      <c r="D226" s="18">
        <v>4000.0</v>
      </c>
      <c r="E226" s="13">
        <v>4000.0</v>
      </c>
      <c r="F226" s="35">
        <v>46253.0</v>
      </c>
      <c r="G226" s="13" t="s">
        <v>14</v>
      </c>
      <c r="H226" s="36" t="s">
        <v>17</v>
      </c>
      <c r="I226" s="21"/>
      <c r="J226" s="38"/>
      <c r="N226" s="111" t="s">
        <v>147</v>
      </c>
      <c r="O226" s="114"/>
      <c r="P226" s="111">
        <f>SUM(P217:P224)</f>
        <v>38937</v>
      </c>
      <c r="Q226" s="7">
        <v>2000.0</v>
      </c>
    </row>
    <row r="227">
      <c r="A227" s="30">
        <v>46253.0</v>
      </c>
      <c r="B227" s="13" t="s">
        <v>217</v>
      </c>
      <c r="C227" s="13" t="s">
        <v>783</v>
      </c>
      <c r="D227" s="18">
        <v>2580.0</v>
      </c>
      <c r="E227" s="13">
        <v>2580.0</v>
      </c>
      <c r="F227" s="44">
        <v>46255.0</v>
      </c>
      <c r="G227" s="13" t="s">
        <v>55</v>
      </c>
      <c r="H227" s="45" t="s">
        <v>42</v>
      </c>
      <c r="I227" s="13" t="s">
        <v>785</v>
      </c>
      <c r="J227" s="38"/>
    </row>
    <row r="228">
      <c r="A228" s="30">
        <v>46253.0</v>
      </c>
      <c r="B228" s="13" t="s">
        <v>217</v>
      </c>
      <c r="C228" s="13" t="s">
        <v>113</v>
      </c>
      <c r="D228" s="18">
        <v>825.0</v>
      </c>
      <c r="E228" s="13">
        <v>825.0</v>
      </c>
      <c r="F228" s="44">
        <v>46255.0</v>
      </c>
      <c r="G228" s="13" t="s">
        <v>55</v>
      </c>
      <c r="H228" s="45" t="s">
        <v>42</v>
      </c>
      <c r="I228" s="13" t="s">
        <v>785</v>
      </c>
      <c r="J228" s="38"/>
      <c r="O228" s="270"/>
      <c r="P228" s="270">
        <v>1488.0</v>
      </c>
    </row>
    <row r="229">
      <c r="A229" s="89">
        <v>46253.0</v>
      </c>
      <c r="B229" s="65" t="s">
        <v>225</v>
      </c>
      <c r="C229" s="65" t="s">
        <v>787</v>
      </c>
      <c r="D229" s="70">
        <v>2315.0</v>
      </c>
      <c r="E229" s="65">
        <v>2315.0</v>
      </c>
      <c r="F229" s="145">
        <v>46255.0</v>
      </c>
      <c r="G229" s="65" t="s">
        <v>55</v>
      </c>
      <c r="H229" s="94" t="s">
        <v>42</v>
      </c>
      <c r="I229" s="97"/>
      <c r="J229" s="73"/>
    </row>
    <row r="230">
      <c r="A230" s="10">
        <v>46254.0</v>
      </c>
      <c r="B230" s="12" t="s">
        <v>10</v>
      </c>
      <c r="C230" s="179" t="s">
        <v>12</v>
      </c>
      <c r="D230" s="16">
        <v>70.0</v>
      </c>
      <c r="E230" s="95">
        <v>70.0</v>
      </c>
      <c r="F230" s="19">
        <v>46254.0</v>
      </c>
      <c r="G230" s="95" t="s">
        <v>14</v>
      </c>
      <c r="H230" s="23" t="s">
        <v>17</v>
      </c>
      <c r="I230" s="25"/>
      <c r="J230" s="27"/>
    </row>
    <row r="231">
      <c r="A231" s="30">
        <v>46254.0</v>
      </c>
      <c r="B231" s="13" t="s">
        <v>25</v>
      </c>
      <c r="C231" s="13" t="s">
        <v>12</v>
      </c>
      <c r="D231" s="18">
        <v>70.0</v>
      </c>
      <c r="E231" s="13">
        <v>70.0</v>
      </c>
      <c r="F231" s="44">
        <v>46254.0</v>
      </c>
      <c r="G231" s="13" t="s">
        <v>14</v>
      </c>
      <c r="H231" s="76" t="s">
        <v>17</v>
      </c>
      <c r="I231" s="21"/>
      <c r="J231" s="38"/>
    </row>
    <row r="232">
      <c r="A232" s="30">
        <v>46254.0</v>
      </c>
      <c r="B232" s="13" t="s">
        <v>248</v>
      </c>
      <c r="C232" s="13" t="s">
        <v>686</v>
      </c>
      <c r="D232" s="18">
        <v>60.0</v>
      </c>
      <c r="E232" s="13">
        <v>60.0</v>
      </c>
      <c r="F232" s="44">
        <v>46254.0</v>
      </c>
      <c r="G232" s="13" t="s">
        <v>14</v>
      </c>
      <c r="H232" s="76" t="s">
        <v>17</v>
      </c>
      <c r="I232" s="21"/>
      <c r="J232" s="38"/>
    </row>
    <row r="233">
      <c r="A233" s="30">
        <v>46254.0</v>
      </c>
      <c r="B233" s="13" t="s">
        <v>38</v>
      </c>
      <c r="C233" s="13" t="s">
        <v>175</v>
      </c>
      <c r="D233" s="18">
        <v>500.0</v>
      </c>
      <c r="E233" s="13">
        <v>500.0</v>
      </c>
      <c r="F233" s="44">
        <v>46254.0</v>
      </c>
      <c r="G233" s="13" t="s">
        <v>14</v>
      </c>
      <c r="H233" s="76" t="s">
        <v>17</v>
      </c>
      <c r="I233" s="21"/>
      <c r="J233" s="38"/>
    </row>
    <row r="234">
      <c r="A234" s="30">
        <v>46254.0</v>
      </c>
      <c r="B234" s="242" t="s">
        <v>792</v>
      </c>
      <c r="C234" s="242" t="s">
        <v>792</v>
      </c>
      <c r="D234" s="273">
        <v>2000.0</v>
      </c>
      <c r="E234" s="242">
        <v>2000.0</v>
      </c>
      <c r="F234" s="250">
        <v>46254.0</v>
      </c>
      <c r="G234" s="242" t="s">
        <v>14</v>
      </c>
      <c r="H234" s="242" t="s">
        <v>17</v>
      </c>
      <c r="I234" s="21"/>
      <c r="J234" s="38"/>
    </row>
    <row r="235">
      <c r="A235" s="30">
        <v>46254.0</v>
      </c>
      <c r="B235" s="13" t="s">
        <v>50</v>
      </c>
      <c r="C235" s="13" t="s">
        <v>794</v>
      </c>
      <c r="D235" s="18">
        <v>103.0</v>
      </c>
      <c r="E235" s="13">
        <v>103.0</v>
      </c>
      <c r="F235" s="44">
        <v>46254.0</v>
      </c>
      <c r="G235" s="13" t="s">
        <v>14</v>
      </c>
      <c r="H235" s="76" t="s">
        <v>17</v>
      </c>
      <c r="I235" s="21"/>
      <c r="J235" s="38"/>
    </row>
    <row r="236">
      <c r="A236" s="30">
        <v>46254.0</v>
      </c>
      <c r="B236" s="13" t="s">
        <v>101</v>
      </c>
      <c r="C236" s="81" t="s">
        <v>214</v>
      </c>
      <c r="D236" s="18">
        <v>2000.0</v>
      </c>
      <c r="E236" s="13">
        <v>2000.0</v>
      </c>
      <c r="F236" s="44">
        <v>46254.0</v>
      </c>
      <c r="G236" s="13" t="s">
        <v>14</v>
      </c>
      <c r="H236" s="76" t="s">
        <v>17</v>
      </c>
      <c r="I236" s="21"/>
      <c r="J236" s="38"/>
    </row>
    <row r="237">
      <c r="A237" s="30">
        <v>46254.0</v>
      </c>
      <c r="B237" s="13" t="s">
        <v>217</v>
      </c>
      <c r="C237" s="13" t="s">
        <v>799</v>
      </c>
      <c r="D237" s="18">
        <v>4250.0</v>
      </c>
      <c r="E237" s="13">
        <v>4250.0</v>
      </c>
      <c r="F237" s="44">
        <v>46255.0</v>
      </c>
      <c r="G237" s="13" t="s">
        <v>55</v>
      </c>
      <c r="H237" s="45" t="s">
        <v>42</v>
      </c>
      <c r="I237" s="13" t="s">
        <v>785</v>
      </c>
      <c r="J237" s="38"/>
    </row>
    <row r="238">
      <c r="A238" s="30">
        <v>46254.0</v>
      </c>
      <c r="B238" s="13" t="s">
        <v>767</v>
      </c>
      <c r="C238" s="13" t="s">
        <v>406</v>
      </c>
      <c r="D238" s="18">
        <v>3100.0</v>
      </c>
      <c r="E238" s="13">
        <v>3100.0</v>
      </c>
      <c r="F238" s="44">
        <v>46259.0</v>
      </c>
      <c r="G238" s="13" t="s">
        <v>55</v>
      </c>
      <c r="H238" s="45" t="s">
        <v>42</v>
      </c>
      <c r="I238" s="21"/>
      <c r="J238" s="38"/>
    </row>
    <row r="239">
      <c r="A239" s="30">
        <v>46254.0</v>
      </c>
      <c r="B239" s="13" t="s">
        <v>43</v>
      </c>
      <c r="C239" s="13" t="s">
        <v>801</v>
      </c>
      <c r="D239" s="18">
        <v>36900.0</v>
      </c>
      <c r="E239" s="18">
        <v>36900.0</v>
      </c>
      <c r="F239" s="35">
        <v>46259.0</v>
      </c>
      <c r="G239" s="13" t="s">
        <v>55</v>
      </c>
      <c r="H239" s="45" t="s">
        <v>56</v>
      </c>
      <c r="I239" s="21"/>
      <c r="J239" s="38"/>
    </row>
    <row r="240">
      <c r="A240" s="151">
        <v>46254.0</v>
      </c>
      <c r="B240" s="88" t="s">
        <v>63</v>
      </c>
      <c r="C240" s="88" t="s">
        <v>802</v>
      </c>
      <c r="D240" s="91">
        <v>3745.0</v>
      </c>
      <c r="E240" s="88">
        <v>3745.0</v>
      </c>
      <c r="F240" s="127">
        <v>46257.0</v>
      </c>
      <c r="G240" s="88" t="s">
        <v>55</v>
      </c>
      <c r="H240" s="249" t="s">
        <v>42</v>
      </c>
      <c r="I240" s="57"/>
      <c r="J240" s="64"/>
    </row>
    <row r="241">
      <c r="A241" s="126">
        <v>46255.0</v>
      </c>
      <c r="B241" s="12" t="s">
        <v>10</v>
      </c>
      <c r="C241" s="179" t="s">
        <v>12</v>
      </c>
      <c r="D241" s="16">
        <v>70.0</v>
      </c>
      <c r="E241" s="7">
        <v>70.0</v>
      </c>
      <c r="F241" s="126">
        <v>46255.0</v>
      </c>
      <c r="G241" s="41" t="s">
        <v>14</v>
      </c>
      <c r="H241" s="106" t="s">
        <v>17</v>
      </c>
    </row>
    <row r="242">
      <c r="A242" s="44">
        <v>46255.0</v>
      </c>
      <c r="B242" s="13" t="s">
        <v>25</v>
      </c>
      <c r="C242" s="13" t="s">
        <v>449</v>
      </c>
      <c r="D242" s="18">
        <v>105.0</v>
      </c>
      <c r="E242" s="13">
        <v>105.0</v>
      </c>
      <c r="F242" s="44">
        <v>46255.0</v>
      </c>
      <c r="G242" s="13" t="s">
        <v>14</v>
      </c>
      <c r="H242" s="76" t="s">
        <v>17</v>
      </c>
      <c r="I242" s="21"/>
      <c r="J242" s="21"/>
    </row>
    <row r="243">
      <c r="A243" s="44">
        <v>46255.0</v>
      </c>
      <c r="B243" s="13" t="s">
        <v>248</v>
      </c>
      <c r="C243" s="13" t="s">
        <v>803</v>
      </c>
      <c r="D243" s="18">
        <v>260.0</v>
      </c>
      <c r="E243" s="13">
        <v>260.0</v>
      </c>
      <c r="F243" s="44">
        <v>46255.0</v>
      </c>
      <c r="G243" s="13" t="s">
        <v>14</v>
      </c>
      <c r="H243" s="76" t="s">
        <v>17</v>
      </c>
      <c r="I243" s="21"/>
      <c r="J243" s="21"/>
    </row>
    <row r="244">
      <c r="A244" s="44">
        <v>46255.0</v>
      </c>
      <c r="B244" s="13" t="s">
        <v>38</v>
      </c>
      <c r="C244" s="13" t="s">
        <v>40</v>
      </c>
      <c r="D244" s="18">
        <v>1000.0</v>
      </c>
      <c r="E244" s="13">
        <v>1000.0</v>
      </c>
      <c r="F244" s="44">
        <v>46255.0</v>
      </c>
      <c r="G244" s="13" t="s">
        <v>14</v>
      </c>
      <c r="H244" s="76" t="s">
        <v>17</v>
      </c>
      <c r="I244" s="21"/>
      <c r="J244" s="21"/>
    </row>
    <row r="245">
      <c r="A245" s="44">
        <v>46255.0</v>
      </c>
      <c r="B245" s="13" t="s">
        <v>38</v>
      </c>
      <c r="C245" s="13" t="s">
        <v>111</v>
      </c>
      <c r="D245" s="18">
        <v>1000.0</v>
      </c>
      <c r="E245" s="13">
        <v>1000.0</v>
      </c>
      <c r="F245" s="44">
        <v>46255.0</v>
      </c>
      <c r="G245" s="13" t="s">
        <v>14</v>
      </c>
      <c r="H245" s="76" t="s">
        <v>17</v>
      </c>
      <c r="I245" s="21"/>
      <c r="J245" s="21"/>
    </row>
    <row r="246">
      <c r="A246" s="44">
        <v>46255.0</v>
      </c>
      <c r="B246" s="13" t="s">
        <v>50</v>
      </c>
      <c r="C246" s="13" t="s">
        <v>804</v>
      </c>
      <c r="D246" s="18">
        <v>1505.0</v>
      </c>
      <c r="E246" s="13">
        <v>1505.0</v>
      </c>
      <c r="F246" s="44">
        <v>46255.0</v>
      </c>
      <c r="G246" s="13" t="s">
        <v>14</v>
      </c>
      <c r="H246" s="76" t="s">
        <v>17</v>
      </c>
      <c r="I246" s="21"/>
      <c r="J246" s="21"/>
    </row>
    <row r="247">
      <c r="A247" s="44">
        <v>46255.0</v>
      </c>
      <c r="B247" s="13" t="s">
        <v>805</v>
      </c>
      <c r="C247" s="13" t="s">
        <v>806</v>
      </c>
      <c r="D247" s="15">
        <v>555.33</v>
      </c>
      <c r="E247" s="13">
        <v>555.33</v>
      </c>
      <c r="F247" s="44">
        <v>46255.0</v>
      </c>
      <c r="G247" s="13" t="s">
        <v>55</v>
      </c>
      <c r="H247" s="13" t="s">
        <v>42</v>
      </c>
      <c r="I247" s="21"/>
      <c r="J247" s="21"/>
    </row>
    <row r="248">
      <c r="A248" s="44">
        <v>46255.0</v>
      </c>
      <c r="B248" s="13" t="s">
        <v>225</v>
      </c>
      <c r="C248" s="13" t="s">
        <v>807</v>
      </c>
      <c r="D248" s="18">
        <v>4800.0</v>
      </c>
      <c r="E248" s="13">
        <v>4800.0</v>
      </c>
      <c r="F248" s="44">
        <v>46255.0</v>
      </c>
      <c r="G248" s="13" t="s">
        <v>55</v>
      </c>
      <c r="H248" s="13" t="s">
        <v>42</v>
      </c>
      <c r="I248" s="21"/>
      <c r="J248" s="21"/>
    </row>
    <row r="249">
      <c r="A249" s="97"/>
      <c r="B249" s="97"/>
      <c r="C249" s="97"/>
      <c r="D249" s="212"/>
      <c r="E249" s="97"/>
      <c r="F249" s="97"/>
      <c r="G249" s="97"/>
      <c r="H249" s="97"/>
      <c r="I249" s="97"/>
      <c r="J249" s="97"/>
    </row>
    <row r="250">
      <c r="A250" s="10">
        <v>46256.0</v>
      </c>
      <c r="B250" s="12" t="s">
        <v>10</v>
      </c>
      <c r="C250" s="179" t="s">
        <v>12</v>
      </c>
      <c r="D250" s="16">
        <v>70.0</v>
      </c>
      <c r="E250" s="95">
        <v>70.0</v>
      </c>
      <c r="F250" s="19">
        <v>46256.0</v>
      </c>
      <c r="G250" s="95" t="s">
        <v>14</v>
      </c>
      <c r="H250" s="23" t="s">
        <v>17</v>
      </c>
      <c r="I250" s="25"/>
      <c r="J250" s="27"/>
    </row>
    <row r="251">
      <c r="A251" s="30">
        <v>46256.0</v>
      </c>
      <c r="B251" s="13" t="s">
        <v>25</v>
      </c>
      <c r="C251" s="179" t="s">
        <v>12</v>
      </c>
      <c r="D251" s="18">
        <v>70.0</v>
      </c>
      <c r="E251" s="13">
        <v>70.0</v>
      </c>
      <c r="F251" s="44">
        <v>46256.0</v>
      </c>
      <c r="G251" s="13" t="s">
        <v>14</v>
      </c>
      <c r="H251" s="76" t="s">
        <v>17</v>
      </c>
      <c r="I251" s="21"/>
      <c r="J251" s="38"/>
    </row>
    <row r="252">
      <c r="A252" s="30">
        <v>46256.0</v>
      </c>
      <c r="B252" s="13" t="s">
        <v>50</v>
      </c>
      <c r="C252" s="13" t="s">
        <v>811</v>
      </c>
      <c r="D252" s="18">
        <v>374.0</v>
      </c>
      <c r="E252" s="13">
        <v>374.0</v>
      </c>
      <c r="F252" s="44">
        <v>46256.0</v>
      </c>
      <c r="G252" s="13" t="s">
        <v>14</v>
      </c>
      <c r="H252" s="76" t="s">
        <v>17</v>
      </c>
      <c r="I252" s="21"/>
      <c r="J252" s="38"/>
    </row>
    <row r="253">
      <c r="A253" s="30">
        <v>46256.0</v>
      </c>
      <c r="B253" s="13" t="s">
        <v>812</v>
      </c>
      <c r="C253" s="13" t="s">
        <v>813</v>
      </c>
      <c r="D253" s="18">
        <v>75.0</v>
      </c>
      <c r="E253" s="13">
        <v>75.0</v>
      </c>
      <c r="F253" s="44">
        <v>46256.0</v>
      </c>
      <c r="G253" s="13" t="s">
        <v>14</v>
      </c>
      <c r="H253" s="76" t="s">
        <v>17</v>
      </c>
      <c r="I253" s="21"/>
      <c r="J253" s="38"/>
    </row>
    <row r="254">
      <c r="A254" s="30">
        <v>46256.0</v>
      </c>
      <c r="B254" s="13" t="s">
        <v>50</v>
      </c>
      <c r="C254" s="13" t="s">
        <v>338</v>
      </c>
      <c r="D254" s="18">
        <v>100.0</v>
      </c>
      <c r="E254" s="13">
        <v>100.0</v>
      </c>
      <c r="F254" s="44">
        <v>46256.0</v>
      </c>
      <c r="G254" s="13" t="s">
        <v>14</v>
      </c>
      <c r="H254" s="76" t="s">
        <v>17</v>
      </c>
      <c r="I254" s="21"/>
      <c r="J254" s="38"/>
    </row>
    <row r="255">
      <c r="A255" s="30">
        <v>46256.0</v>
      </c>
      <c r="B255" s="13" t="s">
        <v>38</v>
      </c>
      <c r="C255" s="13" t="s">
        <v>111</v>
      </c>
      <c r="D255" s="18">
        <v>1000.0</v>
      </c>
      <c r="E255" s="13">
        <v>1000.0</v>
      </c>
      <c r="F255" s="44">
        <v>46256.0</v>
      </c>
      <c r="G255" s="13" t="s">
        <v>14</v>
      </c>
      <c r="H255" s="76" t="s">
        <v>17</v>
      </c>
      <c r="I255" s="21"/>
      <c r="J255" s="38"/>
    </row>
    <row r="256">
      <c r="A256" s="30">
        <v>46256.0</v>
      </c>
      <c r="B256" s="13" t="s">
        <v>38</v>
      </c>
      <c r="C256" s="13" t="s">
        <v>40</v>
      </c>
      <c r="D256" s="18">
        <v>1000.0</v>
      </c>
      <c r="E256" s="13">
        <v>1000.0</v>
      </c>
      <c r="F256" s="44">
        <v>46256.0</v>
      </c>
      <c r="G256" s="13" t="s">
        <v>14</v>
      </c>
      <c r="H256" s="76" t="s">
        <v>17</v>
      </c>
      <c r="I256" s="21"/>
      <c r="J256" s="38"/>
    </row>
    <row r="257">
      <c r="A257" s="30">
        <v>46256.0</v>
      </c>
      <c r="B257" s="13" t="s">
        <v>101</v>
      </c>
      <c r="C257" s="81" t="s">
        <v>103</v>
      </c>
      <c r="D257" s="18">
        <v>500.0</v>
      </c>
      <c r="E257" s="13">
        <v>500.0</v>
      </c>
      <c r="F257" s="44">
        <v>46256.0</v>
      </c>
      <c r="G257" s="13" t="s">
        <v>14</v>
      </c>
      <c r="H257" s="76" t="s">
        <v>17</v>
      </c>
      <c r="I257" s="21"/>
      <c r="J257" s="38"/>
    </row>
    <row r="258">
      <c r="A258" s="30">
        <v>46256.0</v>
      </c>
      <c r="B258" s="13" t="s">
        <v>225</v>
      </c>
      <c r="C258" s="13" t="s">
        <v>817</v>
      </c>
      <c r="D258" s="18">
        <v>1025.0</v>
      </c>
      <c r="E258" s="13">
        <v>1025.0</v>
      </c>
      <c r="F258" s="44">
        <v>46256.0</v>
      </c>
      <c r="G258" s="13" t="s">
        <v>55</v>
      </c>
      <c r="H258" s="13" t="s">
        <v>42</v>
      </c>
      <c r="I258" s="21"/>
      <c r="J258" s="38"/>
    </row>
    <row r="259">
      <c r="A259" s="30">
        <v>46256.0</v>
      </c>
      <c r="B259" s="13" t="s">
        <v>819</v>
      </c>
      <c r="C259" s="13" t="s">
        <v>820</v>
      </c>
      <c r="D259" s="18">
        <v>4800.0</v>
      </c>
      <c r="E259" s="13">
        <v>4800.0</v>
      </c>
      <c r="F259" s="44">
        <v>46260.0</v>
      </c>
      <c r="G259" s="13" t="s">
        <v>55</v>
      </c>
      <c r="H259" s="13" t="s">
        <v>42</v>
      </c>
      <c r="I259" s="21"/>
      <c r="J259" s="38"/>
    </row>
    <row r="260">
      <c r="A260" s="151">
        <v>46256.0</v>
      </c>
      <c r="B260" s="88" t="s">
        <v>823</v>
      </c>
      <c r="C260" s="88" t="s">
        <v>824</v>
      </c>
      <c r="D260" s="91">
        <v>1500.0</v>
      </c>
      <c r="E260" s="88">
        <v>1500.0</v>
      </c>
      <c r="F260" s="127">
        <v>46259.0</v>
      </c>
      <c r="G260" s="88" t="s">
        <v>271</v>
      </c>
      <c r="H260" s="88" t="s">
        <v>42</v>
      </c>
      <c r="I260" s="57"/>
      <c r="J260" s="64"/>
    </row>
    <row r="261">
      <c r="A261" s="10">
        <v>46257.0</v>
      </c>
      <c r="B261" s="12" t="s">
        <v>10</v>
      </c>
      <c r="C261" s="275" t="s">
        <v>449</v>
      </c>
      <c r="D261" s="259">
        <v>105.0</v>
      </c>
      <c r="E261" s="22">
        <v>105.0</v>
      </c>
      <c r="F261" s="276">
        <v>46257.0</v>
      </c>
      <c r="G261" s="22" t="s">
        <v>14</v>
      </c>
      <c r="H261" s="23" t="s">
        <v>17</v>
      </c>
      <c r="I261" s="25"/>
      <c r="J261" s="27"/>
    </row>
    <row r="262">
      <c r="A262" s="30">
        <v>46257.0</v>
      </c>
      <c r="B262" s="51" t="s">
        <v>25</v>
      </c>
      <c r="C262" s="163" t="s">
        <v>12</v>
      </c>
      <c r="D262" s="18">
        <v>70.0</v>
      </c>
      <c r="E262" s="13">
        <v>70.0</v>
      </c>
      <c r="F262" s="44">
        <v>46257.0</v>
      </c>
      <c r="G262" s="13" t="s">
        <v>14</v>
      </c>
      <c r="H262" s="36" t="s">
        <v>17</v>
      </c>
      <c r="I262" s="21"/>
      <c r="J262" s="38"/>
    </row>
    <row r="263">
      <c r="A263" s="30">
        <v>46257.0</v>
      </c>
      <c r="B263" s="51" t="s">
        <v>248</v>
      </c>
      <c r="C263" s="13" t="s">
        <v>830</v>
      </c>
      <c r="D263" s="18">
        <v>280.0</v>
      </c>
      <c r="E263" s="13">
        <v>280.0</v>
      </c>
      <c r="F263" s="44">
        <v>46257.0</v>
      </c>
      <c r="G263" s="13" t="s">
        <v>14</v>
      </c>
      <c r="H263" s="36" t="s">
        <v>17</v>
      </c>
      <c r="I263" s="21"/>
      <c r="J263" s="38"/>
    </row>
    <row r="264">
      <c r="A264" s="30">
        <v>46257.0</v>
      </c>
      <c r="B264" s="51" t="s">
        <v>38</v>
      </c>
      <c r="C264" s="13" t="s">
        <v>111</v>
      </c>
      <c r="D264" s="18">
        <v>1000.0</v>
      </c>
      <c r="E264" s="13">
        <v>1000.0</v>
      </c>
      <c r="F264" s="44">
        <v>46257.0</v>
      </c>
      <c r="G264" s="13" t="s">
        <v>14</v>
      </c>
      <c r="H264" s="36" t="s">
        <v>17</v>
      </c>
      <c r="I264" s="21"/>
      <c r="J264" s="38"/>
    </row>
    <row r="265">
      <c r="A265" s="30">
        <v>46257.0</v>
      </c>
      <c r="B265" s="51" t="s">
        <v>38</v>
      </c>
      <c r="C265" s="13" t="s">
        <v>40</v>
      </c>
      <c r="D265" s="18">
        <v>1000.0</v>
      </c>
      <c r="E265" s="13">
        <v>1000.0</v>
      </c>
      <c r="F265" s="44">
        <v>46257.0</v>
      </c>
      <c r="G265" s="13" t="s">
        <v>14</v>
      </c>
      <c r="H265" s="36" t="s">
        <v>17</v>
      </c>
      <c r="I265" s="21"/>
      <c r="J265" s="38"/>
    </row>
    <row r="266">
      <c r="A266" s="30">
        <v>46257.0</v>
      </c>
      <c r="B266" s="51" t="s">
        <v>101</v>
      </c>
      <c r="C266" s="81" t="s">
        <v>103</v>
      </c>
      <c r="D266" s="18">
        <v>500.0</v>
      </c>
      <c r="E266" s="13">
        <v>500.0</v>
      </c>
      <c r="F266" s="44">
        <v>46257.0</v>
      </c>
      <c r="G266" s="13" t="s">
        <v>14</v>
      </c>
      <c r="H266" s="36" t="s">
        <v>17</v>
      </c>
      <c r="I266" s="21"/>
      <c r="J266" s="38"/>
    </row>
    <row r="267">
      <c r="A267" s="30">
        <v>46257.0</v>
      </c>
      <c r="B267" s="51" t="s">
        <v>43</v>
      </c>
      <c r="C267" s="13" t="s">
        <v>833</v>
      </c>
      <c r="D267" s="18">
        <v>43500.0</v>
      </c>
      <c r="E267" s="13">
        <v>43500.0</v>
      </c>
      <c r="F267" s="44">
        <v>46263.0</v>
      </c>
      <c r="G267" s="13" t="s">
        <v>55</v>
      </c>
      <c r="H267" s="94" t="s">
        <v>42</v>
      </c>
      <c r="I267" s="21"/>
      <c r="J267" s="38"/>
    </row>
    <row r="268">
      <c r="A268" s="30">
        <v>46257.0</v>
      </c>
      <c r="B268" s="51" t="s">
        <v>401</v>
      </c>
      <c r="C268" s="13" t="s">
        <v>834</v>
      </c>
      <c r="D268" s="18">
        <v>11900.0</v>
      </c>
      <c r="E268" s="13">
        <v>11900.0</v>
      </c>
      <c r="F268" s="44">
        <v>46260.0</v>
      </c>
      <c r="G268" s="13" t="s">
        <v>55</v>
      </c>
      <c r="H268" s="45" t="s">
        <v>42</v>
      </c>
      <c r="I268" s="21"/>
      <c r="J268" s="38"/>
    </row>
    <row r="269">
      <c r="A269" s="30">
        <v>46257.0</v>
      </c>
      <c r="B269" s="13" t="s">
        <v>217</v>
      </c>
      <c r="C269" s="41" t="s">
        <v>835</v>
      </c>
      <c r="D269" s="104">
        <v>5600.0</v>
      </c>
      <c r="E269" s="41">
        <v>5600.0</v>
      </c>
      <c r="F269" s="126">
        <v>46258.0</v>
      </c>
      <c r="G269" s="7" t="s">
        <v>55</v>
      </c>
      <c r="H269" s="7" t="s">
        <v>42</v>
      </c>
      <c r="I269" s="21"/>
      <c r="J269" s="38"/>
    </row>
    <row r="270">
      <c r="A270" s="30">
        <v>46257.0</v>
      </c>
      <c r="B270" s="13" t="s">
        <v>405</v>
      </c>
      <c r="C270" s="13" t="s">
        <v>836</v>
      </c>
      <c r="D270" s="18">
        <v>2630.0</v>
      </c>
      <c r="E270" s="13">
        <v>2630.0</v>
      </c>
      <c r="F270" s="44">
        <v>46259.0</v>
      </c>
      <c r="G270" s="13" t="s">
        <v>55</v>
      </c>
      <c r="H270" s="45" t="s">
        <v>42</v>
      </c>
      <c r="I270" s="21"/>
      <c r="J270" s="38"/>
    </row>
    <row r="271">
      <c r="A271" s="277"/>
      <c r="B271" s="97"/>
      <c r="C271" s="97"/>
      <c r="D271" s="212"/>
      <c r="E271" s="97"/>
      <c r="F271" s="97"/>
      <c r="G271" s="97"/>
      <c r="H271" s="97"/>
      <c r="I271" s="97"/>
      <c r="J271" s="73"/>
    </row>
    <row r="272">
      <c r="A272" s="218">
        <v>46258.0</v>
      </c>
      <c r="B272" s="12" t="s">
        <v>10</v>
      </c>
      <c r="C272" s="179" t="s">
        <v>315</v>
      </c>
      <c r="D272" s="16">
        <v>140.0</v>
      </c>
      <c r="E272" s="24">
        <v>140.0</v>
      </c>
      <c r="F272" s="19">
        <v>46257.0</v>
      </c>
      <c r="G272" s="95" t="s">
        <v>14</v>
      </c>
      <c r="H272" s="23" t="s">
        <v>17</v>
      </c>
      <c r="I272" s="220"/>
      <c r="J272" s="32"/>
    </row>
    <row r="273">
      <c r="A273" s="124">
        <v>46258.0</v>
      </c>
      <c r="B273" s="13" t="s">
        <v>25</v>
      </c>
      <c r="C273" s="163" t="s">
        <v>12</v>
      </c>
      <c r="D273" s="18">
        <v>70.0</v>
      </c>
      <c r="E273" s="13">
        <v>70.0</v>
      </c>
      <c r="F273" s="44">
        <v>46257.0</v>
      </c>
      <c r="G273" s="13" t="s">
        <v>14</v>
      </c>
      <c r="H273" s="76" t="s">
        <v>17</v>
      </c>
      <c r="I273" s="21"/>
      <c r="J273" s="38"/>
    </row>
    <row r="274">
      <c r="A274" s="124">
        <v>46258.0</v>
      </c>
      <c r="B274" s="13" t="s">
        <v>101</v>
      </c>
      <c r="C274" s="81" t="s">
        <v>103</v>
      </c>
      <c r="D274" s="18">
        <v>500.0</v>
      </c>
      <c r="E274" s="13">
        <v>500.0</v>
      </c>
      <c r="F274" s="44">
        <v>46257.0</v>
      </c>
      <c r="G274" s="13" t="s">
        <v>14</v>
      </c>
      <c r="H274" s="76" t="s">
        <v>17</v>
      </c>
      <c r="I274" s="21"/>
      <c r="J274" s="38"/>
    </row>
    <row r="275">
      <c r="A275" s="124">
        <v>46258.0</v>
      </c>
      <c r="B275" s="13" t="s">
        <v>562</v>
      </c>
      <c r="C275" s="13" t="s">
        <v>838</v>
      </c>
      <c r="D275" s="18">
        <v>810.0</v>
      </c>
      <c r="E275" s="13">
        <v>810.0</v>
      </c>
      <c r="F275" s="44">
        <v>46257.0</v>
      </c>
      <c r="G275" s="13" t="s">
        <v>14</v>
      </c>
      <c r="H275" s="76" t="s">
        <v>17</v>
      </c>
      <c r="I275" s="21"/>
      <c r="J275" s="38"/>
    </row>
    <row r="276">
      <c r="A276" s="124">
        <v>46258.0</v>
      </c>
      <c r="B276" s="13" t="s">
        <v>225</v>
      </c>
      <c r="C276" s="13" t="s">
        <v>839</v>
      </c>
      <c r="D276" s="18">
        <v>15820.0</v>
      </c>
      <c r="E276" s="13">
        <v>15820.0</v>
      </c>
      <c r="F276" s="44">
        <v>46258.0</v>
      </c>
      <c r="G276" s="13" t="s">
        <v>55</v>
      </c>
      <c r="H276" s="13" t="s">
        <v>42</v>
      </c>
      <c r="I276" s="21"/>
      <c r="J276" s="38"/>
    </row>
    <row r="277">
      <c r="A277" s="124">
        <v>46258.0</v>
      </c>
      <c r="B277" s="13" t="s">
        <v>364</v>
      </c>
      <c r="C277" s="13" t="s">
        <v>77</v>
      </c>
      <c r="D277" s="18">
        <v>4900.0</v>
      </c>
      <c r="E277" s="13">
        <v>4900.0</v>
      </c>
      <c r="F277" s="44">
        <v>46266.0</v>
      </c>
      <c r="G277" s="13" t="s">
        <v>55</v>
      </c>
      <c r="H277" s="13" t="s">
        <v>42</v>
      </c>
      <c r="I277" s="21"/>
      <c r="J277" s="38"/>
    </row>
    <row r="278">
      <c r="A278" s="124">
        <v>46258.0</v>
      </c>
      <c r="B278" s="13" t="s">
        <v>290</v>
      </c>
      <c r="C278" s="13" t="s">
        <v>840</v>
      </c>
      <c r="D278" s="18">
        <v>2215.0</v>
      </c>
      <c r="E278" s="13">
        <v>2215.0</v>
      </c>
      <c r="F278" s="44">
        <v>46259.0</v>
      </c>
      <c r="G278" s="13" t="s">
        <v>55</v>
      </c>
      <c r="H278" s="13" t="s">
        <v>42</v>
      </c>
      <c r="I278" s="21"/>
      <c r="J278" s="38"/>
    </row>
    <row r="279">
      <c r="A279" s="124">
        <v>46258.0</v>
      </c>
      <c r="B279" s="13" t="s">
        <v>43</v>
      </c>
      <c r="C279" s="13" t="s">
        <v>841</v>
      </c>
      <c r="D279" s="18">
        <v>37650.0</v>
      </c>
      <c r="E279" s="13">
        <v>37650.0</v>
      </c>
      <c r="F279" s="44">
        <v>46263.0</v>
      </c>
      <c r="G279" s="13" t="s">
        <v>55</v>
      </c>
      <c r="H279" s="94" t="s">
        <v>42</v>
      </c>
      <c r="I279" s="21"/>
      <c r="J279" s="38"/>
    </row>
    <row r="280">
      <c r="A280" s="124">
        <v>46258.0</v>
      </c>
      <c r="B280" s="13" t="s">
        <v>63</v>
      </c>
      <c r="C280" s="13" t="s">
        <v>842</v>
      </c>
      <c r="D280" s="18">
        <v>12500.0</v>
      </c>
      <c r="E280" s="13">
        <v>12500.0</v>
      </c>
      <c r="F280" s="44">
        <v>46263.0</v>
      </c>
      <c r="G280" s="13" t="s">
        <v>55</v>
      </c>
      <c r="H280" s="94" t="s">
        <v>59</v>
      </c>
      <c r="I280" s="21"/>
      <c r="J280" s="38"/>
    </row>
    <row r="281">
      <c r="A281" s="124">
        <v>46258.0</v>
      </c>
      <c r="B281" s="13" t="s">
        <v>160</v>
      </c>
      <c r="C281" s="13" t="s">
        <v>843</v>
      </c>
      <c r="D281" s="18">
        <v>17800.0</v>
      </c>
      <c r="E281" s="13">
        <v>17800.0</v>
      </c>
      <c r="F281" s="44">
        <v>46263.0</v>
      </c>
      <c r="G281" s="13" t="s">
        <v>55</v>
      </c>
      <c r="H281" s="94" t="s">
        <v>59</v>
      </c>
      <c r="I281" s="21"/>
      <c r="J281" s="38"/>
    </row>
    <row r="282">
      <c r="A282" s="10">
        <v>46259.0</v>
      </c>
      <c r="B282" s="12" t="s">
        <v>10</v>
      </c>
      <c r="C282" s="275" t="s">
        <v>449</v>
      </c>
      <c r="D282" s="16">
        <v>105.0</v>
      </c>
      <c r="E282" s="95">
        <v>105.0</v>
      </c>
      <c r="F282" s="19">
        <v>46259.0</v>
      </c>
      <c r="G282" s="95" t="s">
        <v>14</v>
      </c>
      <c r="H282" s="23" t="s">
        <v>17</v>
      </c>
      <c r="I282" s="25"/>
      <c r="J282" s="27"/>
    </row>
    <row r="283">
      <c r="A283" s="30">
        <v>46259.0</v>
      </c>
      <c r="B283" s="13" t="s">
        <v>25</v>
      </c>
      <c r="C283" s="163" t="s">
        <v>12</v>
      </c>
      <c r="D283" s="18">
        <v>70.0</v>
      </c>
      <c r="E283" s="13">
        <v>70.0</v>
      </c>
      <c r="F283" s="44">
        <v>46259.0</v>
      </c>
      <c r="G283" s="13" t="s">
        <v>14</v>
      </c>
      <c r="H283" s="76" t="s">
        <v>17</v>
      </c>
      <c r="I283" s="21"/>
      <c r="J283" s="38"/>
    </row>
    <row r="284">
      <c r="A284" s="30">
        <v>46259.0</v>
      </c>
      <c r="B284" s="13" t="s">
        <v>844</v>
      </c>
      <c r="C284" s="13" t="s">
        <v>325</v>
      </c>
      <c r="D284" s="18">
        <v>1641.0</v>
      </c>
      <c r="E284" s="13">
        <v>1641.0</v>
      </c>
      <c r="F284" s="44">
        <v>46259.0</v>
      </c>
      <c r="G284" s="13" t="s">
        <v>14</v>
      </c>
      <c r="H284" s="76" t="s">
        <v>17</v>
      </c>
      <c r="I284" s="21"/>
      <c r="J284" s="38"/>
    </row>
    <row r="285">
      <c r="A285" s="30">
        <v>46259.0</v>
      </c>
      <c r="B285" s="13" t="s">
        <v>38</v>
      </c>
      <c r="C285" s="13" t="s">
        <v>111</v>
      </c>
      <c r="D285" s="18">
        <v>1000.0</v>
      </c>
      <c r="E285" s="13">
        <v>1000.0</v>
      </c>
      <c r="F285" s="44">
        <v>46259.0</v>
      </c>
      <c r="G285" s="13" t="s">
        <v>14</v>
      </c>
      <c r="H285" s="76" t="s">
        <v>17</v>
      </c>
      <c r="I285" s="21"/>
      <c r="J285" s="38"/>
    </row>
    <row r="286">
      <c r="A286" s="30">
        <v>46259.0</v>
      </c>
      <c r="B286" s="13" t="s">
        <v>101</v>
      </c>
      <c r="C286" s="81" t="s">
        <v>103</v>
      </c>
      <c r="D286" s="18">
        <v>1000.0</v>
      </c>
      <c r="E286" s="13">
        <v>1000.0</v>
      </c>
      <c r="F286" s="44">
        <v>46259.0</v>
      </c>
      <c r="G286" s="13" t="s">
        <v>14</v>
      </c>
      <c r="H286" s="76" t="s">
        <v>17</v>
      </c>
      <c r="I286" s="21"/>
      <c r="J286" s="38"/>
    </row>
    <row r="287">
      <c r="A287" s="30">
        <v>46259.0</v>
      </c>
      <c r="B287" s="13" t="s">
        <v>845</v>
      </c>
      <c r="C287" s="13" t="s">
        <v>846</v>
      </c>
      <c r="D287" s="18">
        <v>5340.0</v>
      </c>
      <c r="E287" s="13">
        <v>5340.0</v>
      </c>
      <c r="F287" s="44">
        <v>46257.0</v>
      </c>
      <c r="G287" s="13" t="s">
        <v>55</v>
      </c>
      <c r="H287" s="13" t="s">
        <v>42</v>
      </c>
      <c r="I287" s="21"/>
      <c r="J287" s="38"/>
    </row>
    <row r="288">
      <c r="A288" s="30">
        <v>46259.0</v>
      </c>
      <c r="B288" s="13" t="s">
        <v>217</v>
      </c>
      <c r="C288" s="13" t="s">
        <v>847</v>
      </c>
      <c r="D288" s="18">
        <v>17161.2</v>
      </c>
      <c r="E288" s="13">
        <v>17161.0</v>
      </c>
      <c r="F288" s="44">
        <v>46260.0</v>
      </c>
      <c r="G288" s="13" t="s">
        <v>55</v>
      </c>
      <c r="H288" s="13" t="s">
        <v>42</v>
      </c>
      <c r="I288" s="21"/>
      <c r="J288" s="38"/>
    </row>
    <row r="289">
      <c r="A289" s="30">
        <v>46259.0</v>
      </c>
      <c r="B289" s="13" t="s">
        <v>48</v>
      </c>
      <c r="C289" s="13" t="s">
        <v>849</v>
      </c>
      <c r="D289" s="18">
        <v>6875.29</v>
      </c>
      <c r="E289" s="13">
        <v>6875.0</v>
      </c>
      <c r="F289" s="44">
        <v>46260.0</v>
      </c>
      <c r="G289" s="13" t="s">
        <v>211</v>
      </c>
      <c r="H289" s="13" t="s">
        <v>56</v>
      </c>
      <c r="I289" s="21"/>
      <c r="J289" s="38"/>
    </row>
    <row r="290">
      <c r="A290" s="30">
        <v>46259.0</v>
      </c>
      <c r="B290" s="13" t="s">
        <v>288</v>
      </c>
      <c r="C290" s="13" t="s">
        <v>850</v>
      </c>
      <c r="D290" s="18">
        <v>8500.0</v>
      </c>
      <c r="E290" s="13">
        <v>8500.0</v>
      </c>
      <c r="F290" s="44">
        <v>46266.0</v>
      </c>
      <c r="G290" s="13" t="s">
        <v>55</v>
      </c>
      <c r="H290" s="13" t="s">
        <v>42</v>
      </c>
      <c r="I290" s="21"/>
      <c r="J290" s="38"/>
    </row>
    <row r="291">
      <c r="A291" s="30">
        <v>46259.0</v>
      </c>
      <c r="B291" s="13" t="s">
        <v>225</v>
      </c>
      <c r="C291" s="13" t="s">
        <v>851</v>
      </c>
      <c r="D291" s="18">
        <v>5000.0</v>
      </c>
      <c r="E291" s="13">
        <v>5000.0</v>
      </c>
      <c r="F291" s="44">
        <v>46261.0</v>
      </c>
      <c r="G291" s="13" t="s">
        <v>211</v>
      </c>
      <c r="H291" s="13" t="s">
        <v>56</v>
      </c>
      <c r="I291" s="21"/>
      <c r="J291" s="38"/>
    </row>
    <row r="292">
      <c r="A292" s="89">
        <v>46259.0</v>
      </c>
      <c r="B292" s="65" t="s">
        <v>252</v>
      </c>
      <c r="C292" s="65" t="s">
        <v>852</v>
      </c>
      <c r="D292" s="70">
        <v>3750.0</v>
      </c>
      <c r="E292" s="65">
        <v>3750.0</v>
      </c>
      <c r="F292" s="145">
        <v>46267.0</v>
      </c>
      <c r="G292" s="65" t="s">
        <v>55</v>
      </c>
      <c r="H292" s="65" t="s">
        <v>56</v>
      </c>
      <c r="I292" s="97"/>
      <c r="J292" s="73"/>
    </row>
    <row r="293">
      <c r="A293" s="10">
        <v>46260.0</v>
      </c>
      <c r="B293" s="12" t="s">
        <v>10</v>
      </c>
      <c r="C293" s="275" t="s">
        <v>449</v>
      </c>
      <c r="D293" s="16">
        <v>105.0</v>
      </c>
      <c r="E293" s="95">
        <v>105.0</v>
      </c>
      <c r="F293" s="19">
        <v>46260.0</v>
      </c>
      <c r="G293" s="95" t="s">
        <v>14</v>
      </c>
      <c r="H293" s="23" t="s">
        <v>17</v>
      </c>
      <c r="I293" s="25"/>
      <c r="J293" s="27"/>
    </row>
    <row r="294">
      <c r="A294" s="30">
        <v>46260.0</v>
      </c>
      <c r="B294" s="13" t="s">
        <v>853</v>
      </c>
      <c r="C294" s="13" t="s">
        <v>854</v>
      </c>
      <c r="D294" s="18">
        <v>8000.0</v>
      </c>
      <c r="E294" s="13">
        <v>8000.0</v>
      </c>
      <c r="F294" s="44">
        <v>46260.0</v>
      </c>
      <c r="G294" s="13" t="s">
        <v>14</v>
      </c>
      <c r="H294" s="76" t="s">
        <v>17</v>
      </c>
      <c r="I294" s="21"/>
      <c r="J294" s="38"/>
    </row>
    <row r="295">
      <c r="A295" s="30">
        <v>46260.0</v>
      </c>
      <c r="B295" s="13" t="s">
        <v>38</v>
      </c>
      <c r="C295" s="13" t="s">
        <v>175</v>
      </c>
      <c r="D295" s="18">
        <v>1000.0</v>
      </c>
      <c r="E295" s="13">
        <v>1000.0</v>
      </c>
      <c r="F295" s="44">
        <v>46260.0</v>
      </c>
      <c r="G295" s="13" t="s">
        <v>14</v>
      </c>
      <c r="H295" s="76" t="s">
        <v>17</v>
      </c>
      <c r="I295" s="107"/>
      <c r="J295" s="46"/>
    </row>
    <row r="296">
      <c r="A296" s="30">
        <v>46260.0</v>
      </c>
      <c r="B296" s="13" t="s">
        <v>38</v>
      </c>
      <c r="C296" s="13" t="s">
        <v>111</v>
      </c>
      <c r="D296" s="18">
        <v>1000.0</v>
      </c>
      <c r="E296" s="13">
        <v>1000.0</v>
      </c>
      <c r="F296" s="44">
        <v>46260.0</v>
      </c>
      <c r="G296" s="13" t="s">
        <v>14</v>
      </c>
      <c r="H296" s="76" t="s">
        <v>17</v>
      </c>
      <c r="I296" s="107"/>
      <c r="J296" s="46"/>
    </row>
    <row r="297">
      <c r="A297" s="30">
        <v>46260.0</v>
      </c>
      <c r="B297" s="13" t="s">
        <v>38</v>
      </c>
      <c r="C297" s="13" t="s">
        <v>40</v>
      </c>
      <c r="D297" s="18">
        <v>1000.0</v>
      </c>
      <c r="E297" s="13">
        <v>1000.0</v>
      </c>
      <c r="F297" s="44">
        <v>46260.0</v>
      </c>
      <c r="G297" s="13" t="s">
        <v>14</v>
      </c>
      <c r="H297" s="76" t="s">
        <v>17</v>
      </c>
      <c r="I297" s="21"/>
      <c r="J297" s="38"/>
    </row>
    <row r="298">
      <c r="A298" s="30">
        <v>46260.0</v>
      </c>
      <c r="B298" s="13" t="s">
        <v>248</v>
      </c>
      <c r="C298" s="13" t="s">
        <v>857</v>
      </c>
      <c r="D298" s="18">
        <v>245.0</v>
      </c>
      <c r="E298" s="13">
        <v>245.0</v>
      </c>
      <c r="F298" s="44">
        <v>46260.0</v>
      </c>
      <c r="G298" s="13" t="s">
        <v>14</v>
      </c>
      <c r="H298" s="76" t="s">
        <v>17</v>
      </c>
      <c r="I298" s="21"/>
      <c r="J298" s="38"/>
    </row>
    <row r="299">
      <c r="A299" s="30">
        <v>46260.0</v>
      </c>
      <c r="B299" s="13" t="s">
        <v>101</v>
      </c>
      <c r="C299" s="81" t="s">
        <v>304</v>
      </c>
      <c r="D299" s="18">
        <v>2000.0</v>
      </c>
      <c r="E299" s="13">
        <v>2000.0</v>
      </c>
      <c r="F299" s="44">
        <v>46260.0</v>
      </c>
      <c r="G299" s="13" t="s">
        <v>14</v>
      </c>
      <c r="H299" s="76" t="s">
        <v>17</v>
      </c>
      <c r="I299" s="21"/>
      <c r="J299" s="38"/>
    </row>
    <row r="300">
      <c r="A300" s="30">
        <v>46260.0</v>
      </c>
      <c r="B300" s="13" t="s">
        <v>101</v>
      </c>
      <c r="C300" s="81" t="s">
        <v>245</v>
      </c>
      <c r="D300" s="18">
        <v>4000.0</v>
      </c>
      <c r="E300" s="13">
        <v>4000.0</v>
      </c>
      <c r="F300" s="44">
        <v>46260.0</v>
      </c>
      <c r="G300" s="13" t="s">
        <v>14</v>
      </c>
      <c r="H300" s="76" t="s">
        <v>17</v>
      </c>
      <c r="I300" s="21"/>
      <c r="J300" s="38"/>
    </row>
    <row r="301">
      <c r="A301" s="30">
        <v>46260.0</v>
      </c>
      <c r="B301" s="13" t="s">
        <v>861</v>
      </c>
      <c r="C301" s="13" t="s">
        <v>862</v>
      </c>
      <c r="D301" s="18">
        <v>73400.0</v>
      </c>
      <c r="E301" s="13">
        <v>40000.0</v>
      </c>
      <c r="F301" s="44">
        <v>46259.0</v>
      </c>
      <c r="G301" s="13" t="s">
        <v>211</v>
      </c>
      <c r="H301" s="13" t="s">
        <v>56</v>
      </c>
      <c r="I301" s="21"/>
      <c r="J301" s="38"/>
    </row>
    <row r="302">
      <c r="A302" s="134"/>
      <c r="B302" s="21"/>
      <c r="C302" s="21"/>
      <c r="D302" s="49"/>
      <c r="E302" s="13">
        <v>9000.0</v>
      </c>
      <c r="F302" s="44">
        <v>46259.0</v>
      </c>
      <c r="G302" s="13" t="s">
        <v>211</v>
      </c>
      <c r="H302" s="13" t="s">
        <v>56</v>
      </c>
      <c r="I302" s="21"/>
      <c r="J302" s="38"/>
    </row>
    <row r="303">
      <c r="A303" s="134"/>
      <c r="B303" s="21"/>
      <c r="C303" s="21"/>
      <c r="D303" s="49"/>
      <c r="E303" s="13">
        <v>24400.0</v>
      </c>
      <c r="F303" s="44">
        <v>46259.0</v>
      </c>
      <c r="G303" s="13" t="s">
        <v>55</v>
      </c>
      <c r="H303" s="13" t="s">
        <v>42</v>
      </c>
      <c r="I303" s="13" t="s">
        <v>863</v>
      </c>
      <c r="J303" s="118" t="s">
        <v>864</v>
      </c>
    </row>
    <row r="304">
      <c r="A304" s="30">
        <v>46260.0</v>
      </c>
      <c r="B304" s="13" t="s">
        <v>118</v>
      </c>
      <c r="C304" s="13" t="s">
        <v>865</v>
      </c>
      <c r="D304" s="18">
        <v>3150.0</v>
      </c>
      <c r="E304" s="13">
        <v>3150.0</v>
      </c>
      <c r="F304" s="44">
        <v>46259.0</v>
      </c>
      <c r="G304" s="13" t="s">
        <v>55</v>
      </c>
      <c r="H304" s="13" t="s">
        <v>56</v>
      </c>
      <c r="I304" s="21"/>
      <c r="J304" s="38"/>
    </row>
    <row r="305">
      <c r="A305" s="30">
        <v>46260.0</v>
      </c>
      <c r="B305" s="13" t="s">
        <v>867</v>
      </c>
      <c r="C305" s="13" t="s">
        <v>868</v>
      </c>
      <c r="D305" s="13">
        <v>11500.0</v>
      </c>
      <c r="E305" s="13">
        <v>11500.0</v>
      </c>
      <c r="F305" s="44">
        <v>46260.0</v>
      </c>
      <c r="G305" s="13" t="s">
        <v>55</v>
      </c>
      <c r="H305" s="13" t="s">
        <v>42</v>
      </c>
      <c r="I305" s="21"/>
      <c r="J305" s="38"/>
    </row>
    <row r="306">
      <c r="A306" s="151">
        <v>46260.0</v>
      </c>
      <c r="B306" s="13" t="s">
        <v>52</v>
      </c>
      <c r="C306" s="88" t="s">
        <v>870</v>
      </c>
      <c r="D306" s="91">
        <v>16200.0</v>
      </c>
      <c r="E306" s="88">
        <v>16200.0</v>
      </c>
      <c r="F306" s="127">
        <v>46263.0</v>
      </c>
      <c r="G306" s="88" t="s">
        <v>55</v>
      </c>
      <c r="H306" s="88" t="s">
        <v>42</v>
      </c>
      <c r="I306" s="57"/>
      <c r="J306" s="64"/>
    </row>
    <row r="307">
      <c r="A307" s="10">
        <v>46261.0</v>
      </c>
      <c r="B307" s="12" t="s">
        <v>10</v>
      </c>
      <c r="C307" s="275" t="s">
        <v>449</v>
      </c>
      <c r="D307" s="16">
        <v>105.0</v>
      </c>
      <c r="E307" s="95">
        <v>105.0</v>
      </c>
      <c r="F307" s="19">
        <v>46261.0</v>
      </c>
      <c r="G307" s="95" t="s">
        <v>14</v>
      </c>
      <c r="H307" s="23" t="s">
        <v>17</v>
      </c>
      <c r="I307" s="25"/>
      <c r="J307" s="27"/>
    </row>
    <row r="308">
      <c r="A308" s="30">
        <v>46261.0</v>
      </c>
      <c r="B308" s="13" t="s">
        <v>25</v>
      </c>
      <c r="C308" s="163" t="s">
        <v>449</v>
      </c>
      <c r="D308" s="18">
        <v>105.0</v>
      </c>
      <c r="E308" s="13">
        <v>105.0</v>
      </c>
      <c r="F308" s="44">
        <v>46261.0</v>
      </c>
      <c r="G308" s="13" t="s">
        <v>14</v>
      </c>
      <c r="H308" s="76" t="s">
        <v>17</v>
      </c>
      <c r="I308" s="21"/>
      <c r="J308" s="38"/>
    </row>
    <row r="309">
      <c r="A309" s="30">
        <v>46261.0</v>
      </c>
      <c r="B309" s="13" t="s">
        <v>334</v>
      </c>
      <c r="C309" s="13" t="s">
        <v>874</v>
      </c>
      <c r="D309" s="18">
        <v>60.0</v>
      </c>
      <c r="E309" s="13">
        <v>60.0</v>
      </c>
      <c r="F309" s="44">
        <v>46261.0</v>
      </c>
      <c r="G309" s="13" t="s">
        <v>14</v>
      </c>
      <c r="H309" s="76" t="s">
        <v>17</v>
      </c>
      <c r="I309" s="21"/>
      <c r="J309" s="38"/>
    </row>
    <row r="310">
      <c r="A310" s="30">
        <v>46261.0</v>
      </c>
      <c r="B310" s="13" t="s">
        <v>38</v>
      </c>
      <c r="C310" s="13" t="s">
        <v>111</v>
      </c>
      <c r="D310" s="18">
        <v>1000.0</v>
      </c>
      <c r="E310" s="13">
        <v>1000.0</v>
      </c>
      <c r="F310" s="44">
        <v>46261.0</v>
      </c>
      <c r="G310" s="13" t="s">
        <v>14</v>
      </c>
      <c r="H310" s="76" t="s">
        <v>17</v>
      </c>
      <c r="I310" s="21"/>
      <c r="J310" s="38"/>
    </row>
    <row r="311">
      <c r="A311" s="30">
        <v>46261.0</v>
      </c>
      <c r="B311" s="13" t="s">
        <v>38</v>
      </c>
      <c r="C311" s="13" t="s">
        <v>40</v>
      </c>
      <c r="D311" s="18">
        <v>1000.0</v>
      </c>
      <c r="E311" s="13">
        <v>1000.0</v>
      </c>
      <c r="F311" s="44">
        <v>46261.0</v>
      </c>
      <c r="G311" s="13" t="s">
        <v>14</v>
      </c>
      <c r="H311" s="76" t="s">
        <v>17</v>
      </c>
      <c r="I311" s="21"/>
      <c r="J311" s="38"/>
    </row>
    <row r="312">
      <c r="A312" s="30">
        <v>46261.0</v>
      </c>
      <c r="B312" s="13" t="s">
        <v>106</v>
      </c>
      <c r="C312" s="13" t="s">
        <v>875</v>
      </c>
      <c r="D312" s="18">
        <v>16728.0</v>
      </c>
      <c r="E312" s="13">
        <v>16200.0</v>
      </c>
      <c r="F312" s="44">
        <v>46263.0</v>
      </c>
      <c r="G312" s="13" t="s">
        <v>55</v>
      </c>
      <c r="H312" s="13" t="s">
        <v>42</v>
      </c>
      <c r="I312" s="21"/>
      <c r="J312" s="38"/>
      <c r="L312" s="7">
        <v>8800.0</v>
      </c>
    </row>
    <row r="313">
      <c r="A313" s="30"/>
      <c r="B313" s="13"/>
      <c r="C313" s="13"/>
      <c r="D313" s="18"/>
      <c r="E313" s="13">
        <v>528.0</v>
      </c>
      <c r="F313" s="44">
        <v>46263.0</v>
      </c>
      <c r="G313" s="13" t="s">
        <v>55</v>
      </c>
      <c r="H313" s="13" t="s">
        <v>42</v>
      </c>
      <c r="I313" s="21"/>
      <c r="J313" s="38"/>
      <c r="L313" s="7">
        <v>42400.0</v>
      </c>
    </row>
    <row r="314">
      <c r="A314" s="30">
        <v>46261.0</v>
      </c>
      <c r="B314" s="13" t="s">
        <v>217</v>
      </c>
      <c r="C314" s="13" t="s">
        <v>877</v>
      </c>
      <c r="D314" s="18">
        <v>3160.0</v>
      </c>
      <c r="E314" s="13">
        <v>3160.0</v>
      </c>
      <c r="F314" s="44">
        <v>46263.0</v>
      </c>
      <c r="G314" s="13" t="s">
        <v>211</v>
      </c>
      <c r="H314" s="13" t="s">
        <v>56</v>
      </c>
      <c r="I314" s="21"/>
      <c r="J314" s="38"/>
      <c r="L314" s="7">
        <v>23800.0</v>
      </c>
    </row>
    <row r="315">
      <c r="A315" s="30">
        <v>46261.0</v>
      </c>
      <c r="B315" s="13" t="s">
        <v>121</v>
      </c>
      <c r="C315" s="13" t="s">
        <v>880</v>
      </c>
      <c r="D315" s="18">
        <v>197800.0</v>
      </c>
      <c r="E315" s="13">
        <v>8800.0</v>
      </c>
      <c r="F315" s="44">
        <v>46277.0</v>
      </c>
      <c r="G315" s="13" t="s">
        <v>55</v>
      </c>
      <c r="H315" s="13" t="s">
        <v>56</v>
      </c>
      <c r="I315" s="21"/>
      <c r="J315" s="38"/>
      <c r="L315" s="7">
        <v>122800.0</v>
      </c>
    </row>
    <row r="316">
      <c r="A316" s="89"/>
      <c r="B316" s="65"/>
      <c r="C316" s="65"/>
      <c r="D316" s="70"/>
      <c r="E316" s="65">
        <v>42400.0</v>
      </c>
      <c r="F316" s="44">
        <v>46277.0</v>
      </c>
      <c r="G316" s="13" t="s">
        <v>55</v>
      </c>
      <c r="H316" s="13" t="s">
        <v>42</v>
      </c>
      <c r="I316" s="97"/>
      <c r="J316" s="73"/>
      <c r="L316" s="7"/>
    </row>
    <row r="317">
      <c r="A317" s="89"/>
      <c r="B317" s="65"/>
      <c r="C317" s="65"/>
      <c r="D317" s="70"/>
      <c r="E317" s="65">
        <v>23800.0</v>
      </c>
      <c r="F317" s="44">
        <v>46277.0</v>
      </c>
      <c r="G317" s="13" t="s">
        <v>55</v>
      </c>
      <c r="H317" s="13" t="s">
        <v>56</v>
      </c>
      <c r="I317" s="97"/>
      <c r="J317" s="73"/>
      <c r="L317" s="7"/>
    </row>
    <row r="318">
      <c r="A318" s="89"/>
      <c r="B318" s="65"/>
      <c r="C318" s="65"/>
      <c r="D318" s="70"/>
      <c r="E318" s="65">
        <v>122800.0</v>
      </c>
      <c r="F318" s="44">
        <v>46277.0</v>
      </c>
      <c r="G318" s="13" t="s">
        <v>55</v>
      </c>
      <c r="H318" s="13" t="s">
        <v>42</v>
      </c>
      <c r="I318" s="97"/>
      <c r="J318" s="73"/>
      <c r="L318" s="7"/>
    </row>
    <row r="319">
      <c r="A319" s="151">
        <v>46261.0</v>
      </c>
      <c r="B319" s="88" t="s">
        <v>405</v>
      </c>
      <c r="C319" s="88" t="s">
        <v>884</v>
      </c>
      <c r="D319" s="91">
        <v>3100.0</v>
      </c>
      <c r="E319" s="88">
        <v>3100.0</v>
      </c>
      <c r="F319" s="44">
        <v>46263.0</v>
      </c>
      <c r="G319" s="13" t="s">
        <v>211</v>
      </c>
      <c r="H319" s="13" t="s">
        <v>56</v>
      </c>
      <c r="I319" s="57"/>
      <c r="J319" s="64"/>
      <c r="L319" s="39">
        <f>SUM(L312:L315)</f>
        <v>197800</v>
      </c>
    </row>
    <row r="320">
      <c r="A320" s="218">
        <v>46262.0</v>
      </c>
      <c r="B320" s="12" t="s">
        <v>10</v>
      </c>
      <c r="C320" s="275" t="s">
        <v>12</v>
      </c>
      <c r="D320" s="16">
        <v>70.0</v>
      </c>
      <c r="E320" s="24">
        <v>70.0</v>
      </c>
      <c r="F320" s="219">
        <v>46262.0</v>
      </c>
      <c r="G320" s="95" t="s">
        <v>14</v>
      </c>
      <c r="H320" s="23" t="s">
        <v>17</v>
      </c>
      <c r="I320" s="220"/>
      <c r="J320" s="32"/>
    </row>
    <row r="321">
      <c r="A321" s="30">
        <v>46262.0</v>
      </c>
      <c r="B321" s="13" t="s">
        <v>25</v>
      </c>
      <c r="C321" s="163" t="s">
        <v>12</v>
      </c>
      <c r="D321" s="18">
        <v>70.0</v>
      </c>
      <c r="E321" s="13">
        <v>70.0</v>
      </c>
      <c r="F321" s="44">
        <v>46262.0</v>
      </c>
      <c r="G321" s="13" t="s">
        <v>14</v>
      </c>
      <c r="H321" s="76" t="s">
        <v>17</v>
      </c>
      <c r="I321" s="21"/>
      <c r="J321" s="38"/>
    </row>
    <row r="322">
      <c r="A322" s="30">
        <v>46262.0</v>
      </c>
      <c r="B322" s="13" t="s">
        <v>50</v>
      </c>
      <c r="C322" s="13" t="s">
        <v>888</v>
      </c>
      <c r="D322" s="18">
        <v>195.0</v>
      </c>
      <c r="E322" s="13">
        <v>195.0</v>
      </c>
      <c r="F322" s="44">
        <v>46262.0</v>
      </c>
      <c r="G322" s="13" t="s">
        <v>14</v>
      </c>
      <c r="H322" s="76" t="s">
        <v>17</v>
      </c>
      <c r="I322" s="21"/>
      <c r="J322" s="38"/>
    </row>
    <row r="323">
      <c r="A323" s="30">
        <v>46262.0</v>
      </c>
      <c r="B323" s="13" t="s">
        <v>38</v>
      </c>
      <c r="C323" s="13" t="s">
        <v>111</v>
      </c>
      <c r="D323" s="18">
        <v>1000.0</v>
      </c>
      <c r="E323" s="13">
        <v>1000.0</v>
      </c>
      <c r="F323" s="44">
        <v>46262.0</v>
      </c>
      <c r="G323" s="13" t="s">
        <v>14</v>
      </c>
      <c r="H323" s="76" t="s">
        <v>17</v>
      </c>
      <c r="I323" s="21"/>
      <c r="J323" s="38"/>
    </row>
    <row r="324">
      <c r="A324" s="30">
        <v>46262.0</v>
      </c>
      <c r="B324" s="13" t="s">
        <v>38</v>
      </c>
      <c r="C324" s="13" t="s">
        <v>40</v>
      </c>
      <c r="D324" s="18">
        <v>1000.0</v>
      </c>
      <c r="E324" s="13">
        <v>1000.0</v>
      </c>
      <c r="F324" s="44">
        <v>46262.0</v>
      </c>
      <c r="G324" s="13" t="s">
        <v>14</v>
      </c>
      <c r="H324" s="76" t="s">
        <v>17</v>
      </c>
      <c r="I324" s="21"/>
      <c r="J324" s="38"/>
    </row>
    <row r="325">
      <c r="A325" s="30">
        <v>46262.0</v>
      </c>
      <c r="B325" s="13" t="s">
        <v>225</v>
      </c>
      <c r="C325" s="13" t="s">
        <v>889</v>
      </c>
      <c r="D325" s="18">
        <v>1140.0</v>
      </c>
      <c r="E325" s="13">
        <v>1140.0</v>
      </c>
      <c r="F325" s="44">
        <v>46263.0</v>
      </c>
      <c r="G325" s="13" t="s">
        <v>211</v>
      </c>
      <c r="H325" s="13" t="s">
        <v>56</v>
      </c>
      <c r="I325" s="13" t="s">
        <v>890</v>
      </c>
      <c r="J325" s="38"/>
    </row>
    <row r="326">
      <c r="A326" s="151">
        <v>46262.0</v>
      </c>
      <c r="B326" s="88" t="s">
        <v>225</v>
      </c>
      <c r="C326" s="88" t="s">
        <v>891</v>
      </c>
      <c r="D326" s="91">
        <v>21300.0</v>
      </c>
      <c r="E326" s="88">
        <v>21300.0</v>
      </c>
      <c r="F326" s="127">
        <v>46263.0</v>
      </c>
      <c r="G326" s="88" t="s">
        <v>211</v>
      </c>
      <c r="H326" s="88" t="s">
        <v>56</v>
      </c>
      <c r="I326" s="65" t="s">
        <v>890</v>
      </c>
      <c r="J326" s="64"/>
    </row>
    <row r="327">
      <c r="A327" s="10">
        <v>46263.0</v>
      </c>
      <c r="B327" s="12" t="s">
        <v>10</v>
      </c>
      <c r="C327" s="275" t="s">
        <v>12</v>
      </c>
      <c r="D327" s="16">
        <v>70.0</v>
      </c>
      <c r="E327" s="24">
        <v>70.0</v>
      </c>
      <c r="F327" s="19">
        <v>46263.0</v>
      </c>
      <c r="G327" s="95" t="s">
        <v>14</v>
      </c>
      <c r="H327" s="23" t="s">
        <v>17</v>
      </c>
      <c r="I327" s="25"/>
      <c r="J327" s="27"/>
    </row>
    <row r="328">
      <c r="A328" s="162">
        <v>46263.0</v>
      </c>
      <c r="B328" s="13" t="s">
        <v>25</v>
      </c>
      <c r="C328" s="163" t="s">
        <v>315</v>
      </c>
      <c r="D328" s="104">
        <v>140.0</v>
      </c>
      <c r="E328" s="7">
        <v>140.0</v>
      </c>
      <c r="F328" s="102">
        <v>46263.0</v>
      </c>
      <c r="G328" s="13" t="s">
        <v>14</v>
      </c>
      <c r="H328" s="76" t="s">
        <v>17</v>
      </c>
      <c r="I328" s="107"/>
      <c r="J328" s="46"/>
    </row>
    <row r="329">
      <c r="A329" s="30">
        <v>46263.0</v>
      </c>
      <c r="B329" s="13" t="s">
        <v>248</v>
      </c>
      <c r="C329" s="13" t="s">
        <v>894</v>
      </c>
      <c r="D329" s="18">
        <v>130.0</v>
      </c>
      <c r="E329" s="13">
        <v>130.0</v>
      </c>
      <c r="F329" s="44">
        <v>46263.0</v>
      </c>
      <c r="G329" s="13" t="s">
        <v>14</v>
      </c>
      <c r="H329" s="76" t="s">
        <v>17</v>
      </c>
      <c r="I329" s="21"/>
      <c r="J329" s="38"/>
    </row>
    <row r="330">
      <c r="A330" s="30">
        <v>46263.0</v>
      </c>
      <c r="B330" s="13" t="s">
        <v>38</v>
      </c>
      <c r="C330" s="13" t="s">
        <v>175</v>
      </c>
      <c r="D330" s="18">
        <v>1000.0</v>
      </c>
      <c r="E330" s="13">
        <v>1000.0</v>
      </c>
      <c r="F330" s="44">
        <v>46263.0</v>
      </c>
      <c r="G330" s="13" t="s">
        <v>14</v>
      </c>
      <c r="H330" s="76" t="s">
        <v>17</v>
      </c>
      <c r="I330" s="21"/>
      <c r="J330" s="38"/>
    </row>
    <row r="331">
      <c r="A331" s="30">
        <v>46263.0</v>
      </c>
      <c r="B331" s="13" t="s">
        <v>38</v>
      </c>
      <c r="C331" s="13" t="s">
        <v>111</v>
      </c>
      <c r="D331" s="18">
        <v>1000.0</v>
      </c>
      <c r="E331" s="13">
        <v>1000.0</v>
      </c>
      <c r="F331" s="44">
        <v>46263.0</v>
      </c>
      <c r="G331" s="13" t="s">
        <v>14</v>
      </c>
      <c r="H331" s="76" t="s">
        <v>17</v>
      </c>
      <c r="I331" s="21"/>
      <c r="J331" s="38"/>
    </row>
    <row r="332">
      <c r="A332" s="30">
        <v>46263.0</v>
      </c>
      <c r="B332" s="13" t="s">
        <v>38</v>
      </c>
      <c r="C332" s="13" t="s">
        <v>40</v>
      </c>
      <c r="D332" s="18">
        <v>1000.0</v>
      </c>
      <c r="E332" s="13">
        <v>1000.0</v>
      </c>
      <c r="F332" s="44">
        <v>46263.0</v>
      </c>
      <c r="G332" s="13" t="s">
        <v>14</v>
      </c>
      <c r="H332" s="76" t="s">
        <v>17</v>
      </c>
      <c r="I332" s="21"/>
      <c r="J332" s="38"/>
    </row>
    <row r="333">
      <c r="A333" s="30">
        <v>46263.0</v>
      </c>
      <c r="B333" s="13" t="s">
        <v>101</v>
      </c>
      <c r="C333" s="81" t="s">
        <v>214</v>
      </c>
      <c r="D333" s="18">
        <v>1000.0</v>
      </c>
      <c r="E333" s="13">
        <v>1000.0</v>
      </c>
      <c r="F333" s="44">
        <v>46263.0</v>
      </c>
      <c r="G333" s="13" t="s">
        <v>14</v>
      </c>
      <c r="H333" s="76" t="s">
        <v>17</v>
      </c>
      <c r="I333" s="21"/>
      <c r="J333" s="38"/>
    </row>
    <row r="334">
      <c r="A334" s="30">
        <v>46263.0</v>
      </c>
      <c r="B334" s="13" t="s">
        <v>207</v>
      </c>
      <c r="C334" s="13" t="s">
        <v>896</v>
      </c>
      <c r="D334" s="18">
        <v>13800.0</v>
      </c>
      <c r="E334" s="13">
        <v>13800.0</v>
      </c>
      <c r="F334" s="44">
        <v>46263.0</v>
      </c>
      <c r="G334" s="13" t="s">
        <v>211</v>
      </c>
      <c r="H334" s="13" t="s">
        <v>56</v>
      </c>
      <c r="I334" s="21"/>
      <c r="J334" s="38"/>
    </row>
    <row r="335">
      <c r="A335" s="30">
        <v>46263.0</v>
      </c>
      <c r="B335" s="13" t="s">
        <v>898</v>
      </c>
      <c r="C335" s="13" t="s">
        <v>71</v>
      </c>
      <c r="D335" s="18">
        <v>680.31</v>
      </c>
      <c r="E335" s="13">
        <v>680.31</v>
      </c>
      <c r="F335" s="44">
        <v>46263.0</v>
      </c>
      <c r="G335" s="13" t="s">
        <v>211</v>
      </c>
      <c r="H335" s="13" t="s">
        <v>56</v>
      </c>
      <c r="I335" s="21"/>
      <c r="J335" s="38"/>
    </row>
    <row r="336">
      <c r="A336" s="30">
        <v>46263.0</v>
      </c>
      <c r="B336" s="13" t="s">
        <v>106</v>
      </c>
      <c r="C336" s="13" t="s">
        <v>899</v>
      </c>
      <c r="D336" s="18">
        <v>8514.0</v>
      </c>
      <c r="E336" s="13">
        <v>8514.0</v>
      </c>
      <c r="F336" s="44">
        <v>46263.0</v>
      </c>
      <c r="G336" s="13" t="s">
        <v>55</v>
      </c>
      <c r="H336" s="13" t="s">
        <v>42</v>
      </c>
      <c r="I336" s="21"/>
      <c r="J336" s="38"/>
    </row>
    <row r="337">
      <c r="A337" s="30">
        <v>46263.0</v>
      </c>
      <c r="B337" s="13" t="s">
        <v>43</v>
      </c>
      <c r="C337" s="13" t="s">
        <v>902</v>
      </c>
      <c r="D337" s="18">
        <v>49950.0</v>
      </c>
      <c r="E337" s="13">
        <v>49950.0</v>
      </c>
      <c r="F337" s="44">
        <v>46267.0</v>
      </c>
      <c r="G337" s="13" t="s">
        <v>36</v>
      </c>
      <c r="H337" s="13" t="s">
        <v>56</v>
      </c>
      <c r="I337" s="21"/>
      <c r="J337" s="38"/>
    </row>
    <row r="338">
      <c r="A338" s="89">
        <v>46263.0</v>
      </c>
      <c r="B338" s="65" t="s">
        <v>158</v>
      </c>
      <c r="C338" s="65" t="s">
        <v>903</v>
      </c>
      <c r="D338" s="70">
        <v>4700.0</v>
      </c>
      <c r="E338" s="65">
        <v>4700.0</v>
      </c>
      <c r="F338" s="145">
        <v>46266.0</v>
      </c>
      <c r="G338" s="65" t="s">
        <v>36</v>
      </c>
      <c r="H338" s="65" t="s">
        <v>42</v>
      </c>
      <c r="I338" s="97"/>
      <c r="J338" s="73"/>
    </row>
    <row r="339">
      <c r="A339" s="10">
        <v>46264.0</v>
      </c>
      <c r="B339" s="12" t="s">
        <v>10</v>
      </c>
      <c r="C339" s="275" t="s">
        <v>12</v>
      </c>
      <c r="D339" s="16">
        <v>70.0</v>
      </c>
      <c r="E339" s="95">
        <v>70.0</v>
      </c>
      <c r="F339" s="19">
        <v>46264.0</v>
      </c>
      <c r="G339" s="95" t="s">
        <v>14</v>
      </c>
      <c r="H339" s="23" t="s">
        <v>17</v>
      </c>
      <c r="I339" s="25"/>
      <c r="J339" s="27"/>
    </row>
    <row r="340">
      <c r="A340" s="30">
        <v>46264.0</v>
      </c>
      <c r="B340" s="13" t="s">
        <v>25</v>
      </c>
      <c r="C340" s="163" t="s">
        <v>12</v>
      </c>
      <c r="D340" s="18">
        <v>70.0</v>
      </c>
      <c r="E340" s="13">
        <v>70.0</v>
      </c>
      <c r="F340" s="44">
        <v>46264.0</v>
      </c>
      <c r="G340" s="13" t="s">
        <v>14</v>
      </c>
      <c r="H340" s="76" t="s">
        <v>17</v>
      </c>
      <c r="I340" s="21"/>
      <c r="J340" s="38"/>
    </row>
    <row r="341">
      <c r="A341" s="30">
        <v>46264.0</v>
      </c>
      <c r="B341" s="13" t="s">
        <v>562</v>
      </c>
      <c r="C341" s="13" t="s">
        <v>905</v>
      </c>
      <c r="D341" s="18">
        <v>810.0</v>
      </c>
      <c r="E341" s="13">
        <v>810.0</v>
      </c>
      <c r="F341" s="44">
        <v>46264.0</v>
      </c>
      <c r="G341" s="13" t="s">
        <v>14</v>
      </c>
      <c r="H341" s="76" t="s">
        <v>17</v>
      </c>
      <c r="I341" s="21"/>
      <c r="J341" s="38"/>
    </row>
    <row r="342">
      <c r="A342" s="30">
        <v>46264.0</v>
      </c>
      <c r="B342" s="13" t="s">
        <v>38</v>
      </c>
      <c r="C342" s="13" t="s">
        <v>111</v>
      </c>
      <c r="D342" s="18">
        <v>1000.0</v>
      </c>
      <c r="E342" s="13">
        <v>1000.0</v>
      </c>
      <c r="F342" s="44">
        <v>46264.0</v>
      </c>
      <c r="G342" s="13" t="s">
        <v>14</v>
      </c>
      <c r="H342" s="76" t="s">
        <v>17</v>
      </c>
      <c r="I342" s="21"/>
      <c r="J342" s="38"/>
    </row>
    <row r="343">
      <c r="A343" s="30">
        <v>46264.0</v>
      </c>
      <c r="B343" s="13" t="s">
        <v>38</v>
      </c>
      <c r="C343" s="13" t="s">
        <v>40</v>
      </c>
      <c r="D343" s="18">
        <v>1000.0</v>
      </c>
      <c r="E343" s="13">
        <v>1000.0</v>
      </c>
      <c r="F343" s="44">
        <v>46264.0</v>
      </c>
      <c r="G343" s="13" t="s">
        <v>14</v>
      </c>
      <c r="H343" s="76" t="s">
        <v>17</v>
      </c>
      <c r="I343" s="21"/>
      <c r="J343" s="38"/>
    </row>
    <row r="344">
      <c r="A344" s="30">
        <v>46264.0</v>
      </c>
      <c r="B344" s="13" t="s">
        <v>101</v>
      </c>
      <c r="C344" s="81" t="s">
        <v>103</v>
      </c>
      <c r="D344" s="18">
        <v>1000.0</v>
      </c>
      <c r="E344" s="13">
        <v>1000.0</v>
      </c>
      <c r="F344" s="44">
        <v>46264.0</v>
      </c>
      <c r="G344" s="13" t="s">
        <v>14</v>
      </c>
      <c r="H344" s="76" t="s">
        <v>17</v>
      </c>
      <c r="I344" s="21"/>
      <c r="J344" s="38"/>
    </row>
    <row r="345">
      <c r="A345" s="151">
        <v>46264.0</v>
      </c>
      <c r="B345" s="88" t="s">
        <v>401</v>
      </c>
      <c r="C345" s="88" t="s">
        <v>909</v>
      </c>
      <c r="D345" s="91">
        <v>13500.0</v>
      </c>
      <c r="E345" s="88">
        <v>13500.0</v>
      </c>
      <c r="F345" s="127">
        <v>46266.0</v>
      </c>
      <c r="G345" s="88" t="s">
        <v>36</v>
      </c>
      <c r="H345" s="88" t="s">
        <v>42</v>
      </c>
      <c r="I345" s="57"/>
      <c r="J345" s="64"/>
    </row>
    <row r="346">
      <c r="A346" s="218">
        <v>46265.0</v>
      </c>
      <c r="B346" s="12" t="s">
        <v>10</v>
      </c>
      <c r="C346" s="275" t="s">
        <v>449</v>
      </c>
      <c r="D346" s="28">
        <v>105.0</v>
      </c>
      <c r="E346" s="28">
        <v>105.0</v>
      </c>
      <c r="F346" s="219">
        <v>46265.0</v>
      </c>
      <c r="G346" s="95" t="s">
        <v>14</v>
      </c>
      <c r="H346" s="23" t="s">
        <v>17</v>
      </c>
      <c r="I346" s="220"/>
      <c r="J346" s="32"/>
    </row>
    <row r="347">
      <c r="A347" s="30">
        <v>46265.0</v>
      </c>
      <c r="B347" s="13" t="s">
        <v>25</v>
      </c>
      <c r="C347" s="163" t="s">
        <v>449</v>
      </c>
      <c r="D347" s="18">
        <v>105.0</v>
      </c>
      <c r="E347" s="18">
        <v>105.0</v>
      </c>
      <c r="F347" s="44">
        <v>46265.0</v>
      </c>
      <c r="G347" s="13" t="s">
        <v>14</v>
      </c>
      <c r="H347" s="76" t="s">
        <v>17</v>
      </c>
      <c r="I347" s="21"/>
      <c r="J347" s="38"/>
    </row>
    <row r="348">
      <c r="A348" s="30">
        <v>46265.0</v>
      </c>
      <c r="B348" s="13" t="s">
        <v>248</v>
      </c>
      <c r="C348" s="13" t="s">
        <v>686</v>
      </c>
      <c r="D348" s="18">
        <v>60.0</v>
      </c>
      <c r="E348" s="18">
        <v>60.0</v>
      </c>
      <c r="F348" s="44">
        <v>46265.0</v>
      </c>
      <c r="G348" s="13" t="s">
        <v>14</v>
      </c>
      <c r="H348" s="76" t="s">
        <v>17</v>
      </c>
      <c r="I348" s="21"/>
      <c r="J348" s="38"/>
    </row>
    <row r="349">
      <c r="A349" s="30">
        <v>46265.0</v>
      </c>
      <c r="B349" s="13" t="s">
        <v>912</v>
      </c>
      <c r="C349" s="13" t="s">
        <v>913</v>
      </c>
      <c r="D349" s="18">
        <v>7920.0</v>
      </c>
      <c r="E349" s="18">
        <v>7920.0</v>
      </c>
      <c r="F349" s="44">
        <v>46265.0</v>
      </c>
      <c r="G349" s="13" t="s">
        <v>14</v>
      </c>
      <c r="H349" s="76" t="s">
        <v>17</v>
      </c>
      <c r="I349" s="21"/>
      <c r="J349" s="38"/>
    </row>
    <row r="350">
      <c r="A350" s="30">
        <v>46265.0</v>
      </c>
      <c r="B350" s="13" t="s">
        <v>275</v>
      </c>
      <c r="C350" s="13" t="s">
        <v>915</v>
      </c>
      <c r="D350" s="18">
        <v>6915.0</v>
      </c>
      <c r="E350" s="18">
        <v>6915.0</v>
      </c>
      <c r="F350" s="44">
        <v>46265.0</v>
      </c>
      <c r="G350" s="13" t="s">
        <v>14</v>
      </c>
      <c r="H350" s="76" t="s">
        <v>17</v>
      </c>
      <c r="I350" s="21"/>
      <c r="J350" s="38"/>
    </row>
    <row r="351">
      <c r="A351" s="30">
        <v>46265.0</v>
      </c>
      <c r="B351" s="13" t="s">
        <v>50</v>
      </c>
      <c r="C351" s="13" t="s">
        <v>916</v>
      </c>
      <c r="D351" s="18">
        <v>559.0</v>
      </c>
      <c r="E351" s="18">
        <v>559.0</v>
      </c>
      <c r="F351" s="44">
        <v>46265.0</v>
      </c>
      <c r="G351" s="13" t="s">
        <v>14</v>
      </c>
      <c r="H351" s="76" t="s">
        <v>17</v>
      </c>
      <c r="I351" s="21"/>
      <c r="J351" s="38"/>
    </row>
    <row r="352">
      <c r="A352" s="124">
        <v>46265.0</v>
      </c>
      <c r="B352" s="13" t="s">
        <v>38</v>
      </c>
      <c r="C352" s="13" t="s">
        <v>111</v>
      </c>
      <c r="D352" s="18">
        <v>1000.0</v>
      </c>
      <c r="E352" s="18">
        <v>1000.0</v>
      </c>
      <c r="F352" s="44">
        <v>46265.0</v>
      </c>
      <c r="G352" s="13" t="s">
        <v>14</v>
      </c>
      <c r="H352" s="76" t="s">
        <v>17</v>
      </c>
      <c r="I352" s="21"/>
      <c r="J352" s="38"/>
    </row>
    <row r="353">
      <c r="A353" s="124">
        <v>46265.0</v>
      </c>
      <c r="B353" s="65" t="s">
        <v>38</v>
      </c>
      <c r="C353" s="65" t="s">
        <v>40</v>
      </c>
      <c r="D353" s="18">
        <v>1000.0</v>
      </c>
      <c r="E353" s="18">
        <v>1000.0</v>
      </c>
      <c r="F353" s="44">
        <v>46265.0</v>
      </c>
      <c r="G353" s="65" t="s">
        <v>14</v>
      </c>
      <c r="H353" s="72" t="s">
        <v>17</v>
      </c>
      <c r="I353" s="21"/>
      <c r="J353" s="38"/>
    </row>
    <row r="354">
      <c r="A354" s="30">
        <v>46265.0</v>
      </c>
      <c r="B354" s="13" t="s">
        <v>160</v>
      </c>
      <c r="C354" s="13" t="s">
        <v>919</v>
      </c>
      <c r="D354" s="18">
        <v>19925.0</v>
      </c>
      <c r="E354" s="13">
        <v>19925.0</v>
      </c>
      <c r="F354" s="44">
        <v>46267.0</v>
      </c>
      <c r="G354" s="13" t="s">
        <v>55</v>
      </c>
      <c r="H354" s="13" t="s">
        <v>42</v>
      </c>
      <c r="I354" s="21"/>
      <c r="J354" s="38"/>
    </row>
    <row r="355">
      <c r="A355" s="30">
        <v>46265.0</v>
      </c>
      <c r="B355" s="13" t="s">
        <v>63</v>
      </c>
      <c r="C355" s="13" t="s">
        <v>920</v>
      </c>
      <c r="D355" s="18">
        <v>7000.0</v>
      </c>
      <c r="E355" s="13">
        <v>7000.0</v>
      </c>
      <c r="F355" s="44">
        <v>46267.0</v>
      </c>
      <c r="G355" s="13" t="s">
        <v>55</v>
      </c>
      <c r="H355" s="13" t="s">
        <v>42</v>
      </c>
      <c r="I355" s="21"/>
      <c r="J355" s="38"/>
    </row>
    <row r="356">
      <c r="A356" s="30">
        <v>46265.0</v>
      </c>
      <c r="B356" s="13" t="s">
        <v>225</v>
      </c>
      <c r="C356" s="13" t="s">
        <v>921</v>
      </c>
      <c r="D356" s="18">
        <v>23370.0</v>
      </c>
      <c r="E356" s="13">
        <v>23370.0</v>
      </c>
      <c r="F356" s="44">
        <v>46267.0</v>
      </c>
      <c r="G356" s="13" t="s">
        <v>55</v>
      </c>
      <c r="H356" s="13" t="s">
        <v>42</v>
      </c>
      <c r="I356" s="21"/>
      <c r="J356" s="38"/>
    </row>
    <row r="357">
      <c r="A357" s="30">
        <v>46265.0</v>
      </c>
      <c r="B357" s="13" t="s">
        <v>554</v>
      </c>
      <c r="C357" s="13" t="s">
        <v>923</v>
      </c>
      <c r="D357" s="18">
        <v>11120.0</v>
      </c>
      <c r="E357" s="18">
        <v>11120.0</v>
      </c>
      <c r="F357" s="44">
        <v>46267.0</v>
      </c>
      <c r="G357" s="187" t="s">
        <v>590</v>
      </c>
      <c r="H357" s="21"/>
      <c r="I357" s="21"/>
      <c r="J357" s="38"/>
    </row>
    <row r="358">
      <c r="A358" s="30">
        <v>46265.0</v>
      </c>
      <c r="B358" s="13" t="s">
        <v>669</v>
      </c>
      <c r="C358" s="13" t="s">
        <v>924</v>
      </c>
      <c r="D358" s="18">
        <v>38534.0</v>
      </c>
      <c r="E358" s="18">
        <v>38534.0</v>
      </c>
      <c r="F358" s="44">
        <v>46267.0</v>
      </c>
      <c r="G358" s="187" t="s">
        <v>590</v>
      </c>
      <c r="H358" s="21"/>
      <c r="I358" s="21"/>
      <c r="J358" s="38"/>
    </row>
    <row r="359">
      <c r="A359" s="30">
        <v>46265.0</v>
      </c>
      <c r="B359" s="13" t="s">
        <v>925</v>
      </c>
      <c r="C359" s="13" t="s">
        <v>926</v>
      </c>
      <c r="D359" s="18">
        <v>13440.0</v>
      </c>
      <c r="E359" s="13">
        <v>13440.0</v>
      </c>
      <c r="F359" s="44">
        <v>46264.0</v>
      </c>
      <c r="G359" s="13" t="s">
        <v>55</v>
      </c>
      <c r="H359" s="13" t="s">
        <v>56</v>
      </c>
      <c r="I359" s="21"/>
      <c r="J359" s="38"/>
    </row>
    <row r="360">
      <c r="A360" s="30">
        <v>46265.0</v>
      </c>
      <c r="B360" s="13" t="s">
        <v>815</v>
      </c>
      <c r="C360" s="13" t="s">
        <v>927</v>
      </c>
      <c r="D360" s="18">
        <v>11400.0</v>
      </c>
      <c r="E360" s="13">
        <v>11400.0</v>
      </c>
      <c r="F360" s="44">
        <v>46264.0</v>
      </c>
      <c r="G360" s="13" t="s">
        <v>55</v>
      </c>
      <c r="H360" s="13" t="s">
        <v>42</v>
      </c>
      <c r="I360" s="21"/>
      <c r="J360" s="38"/>
    </row>
    <row r="361">
      <c r="A361" s="30">
        <v>46265.0</v>
      </c>
      <c r="B361" s="13" t="s">
        <v>929</v>
      </c>
      <c r="C361" s="13" t="s">
        <v>525</v>
      </c>
      <c r="D361" s="18">
        <v>22400.0</v>
      </c>
      <c r="E361" s="13">
        <v>22400.0</v>
      </c>
      <c r="F361" s="44">
        <v>46264.0</v>
      </c>
      <c r="G361" s="13" t="s">
        <v>55</v>
      </c>
      <c r="H361" s="13" t="s">
        <v>56</v>
      </c>
      <c r="I361" s="21"/>
      <c r="J361" s="38"/>
    </row>
    <row r="362">
      <c r="A362" s="30">
        <v>46265.0</v>
      </c>
      <c r="B362" s="13" t="s">
        <v>21</v>
      </c>
      <c r="C362" s="13" t="s">
        <v>931</v>
      </c>
      <c r="D362" s="18">
        <v>44960.0</v>
      </c>
      <c r="E362" s="13">
        <v>44960.0</v>
      </c>
      <c r="F362" s="44">
        <v>46264.0</v>
      </c>
      <c r="G362" s="13" t="s">
        <v>55</v>
      </c>
      <c r="H362" s="13" t="s">
        <v>42</v>
      </c>
      <c r="I362" s="21"/>
      <c r="J362" s="38"/>
    </row>
    <row r="363">
      <c r="A363" s="30">
        <v>46265.0</v>
      </c>
      <c r="B363" s="13" t="s">
        <v>831</v>
      </c>
      <c r="C363" s="13" t="s">
        <v>932</v>
      </c>
      <c r="D363" s="18">
        <v>20500.0</v>
      </c>
      <c r="E363" s="13">
        <v>20500.0</v>
      </c>
      <c r="F363" s="44">
        <v>46269.0</v>
      </c>
      <c r="G363" s="13" t="s">
        <v>55</v>
      </c>
      <c r="H363" s="13" t="s">
        <v>42</v>
      </c>
      <c r="I363" s="21"/>
      <c r="J363" s="38"/>
    </row>
    <row r="364">
      <c r="A364" s="30">
        <v>46265.0</v>
      </c>
      <c r="B364" s="13" t="s">
        <v>43</v>
      </c>
      <c r="C364" s="13" t="s">
        <v>933</v>
      </c>
      <c r="D364" s="18">
        <v>63000.0</v>
      </c>
      <c r="E364" s="13">
        <v>63000.0</v>
      </c>
      <c r="F364" s="44">
        <v>46269.0</v>
      </c>
      <c r="G364" s="13" t="s">
        <v>55</v>
      </c>
      <c r="H364" s="13" t="s">
        <v>42</v>
      </c>
      <c r="I364" s="21"/>
      <c r="J364" s="38"/>
    </row>
    <row r="365">
      <c r="A365" s="30">
        <v>46265.0</v>
      </c>
      <c r="B365" s="13" t="s">
        <v>934</v>
      </c>
      <c r="C365" s="13" t="s">
        <v>935</v>
      </c>
      <c r="D365" s="18">
        <v>17300.0</v>
      </c>
      <c r="E365" s="13">
        <v>17300.0</v>
      </c>
      <c r="F365" s="44">
        <v>46269.0</v>
      </c>
      <c r="G365" s="13" t="s">
        <v>55</v>
      </c>
      <c r="H365" s="13" t="s">
        <v>42</v>
      </c>
      <c r="I365" s="21"/>
      <c r="J365" s="38"/>
    </row>
    <row r="366">
      <c r="A366" s="30">
        <v>46265.0</v>
      </c>
      <c r="B366" s="13" t="s">
        <v>39</v>
      </c>
      <c r="C366" s="13" t="s">
        <v>936</v>
      </c>
      <c r="D366" s="18">
        <v>54270.0</v>
      </c>
      <c r="E366" s="13">
        <v>54270.0</v>
      </c>
      <c r="F366" s="44">
        <v>46269.0</v>
      </c>
      <c r="G366" s="13" t="s">
        <v>55</v>
      </c>
      <c r="H366" s="13" t="s">
        <v>42</v>
      </c>
      <c r="I366" s="21"/>
      <c r="J366" s="38"/>
    </row>
    <row r="367">
      <c r="A367" s="30">
        <v>46265.0</v>
      </c>
      <c r="B367" s="13" t="s">
        <v>33</v>
      </c>
      <c r="C367" s="13" t="s">
        <v>938</v>
      </c>
      <c r="D367" s="18">
        <v>58800.0</v>
      </c>
      <c r="E367" s="13">
        <v>58800.0</v>
      </c>
      <c r="F367" s="44">
        <v>46279.0</v>
      </c>
      <c r="G367" s="13" t="s">
        <v>55</v>
      </c>
      <c r="H367" s="13" t="s">
        <v>42</v>
      </c>
      <c r="I367" s="21"/>
      <c r="J367" s="38"/>
    </row>
    <row r="368">
      <c r="A368" s="30">
        <v>46265.0</v>
      </c>
      <c r="B368" s="13" t="s">
        <v>633</v>
      </c>
      <c r="C368" s="13" t="s">
        <v>941</v>
      </c>
      <c r="D368" s="18">
        <v>16750.0</v>
      </c>
      <c r="E368" s="13">
        <v>16750.0</v>
      </c>
      <c r="F368" s="44">
        <v>46269.0</v>
      </c>
      <c r="G368" s="13" t="s">
        <v>55</v>
      </c>
      <c r="H368" s="13" t="s">
        <v>56</v>
      </c>
      <c r="I368" s="21"/>
      <c r="J368" s="38"/>
    </row>
    <row r="369">
      <c r="A369" s="55"/>
      <c r="B369" s="57"/>
      <c r="C369" s="57"/>
      <c r="D369" s="60"/>
      <c r="E369" s="57"/>
      <c r="F369" s="57"/>
      <c r="G369" s="57"/>
      <c r="H369" s="57"/>
      <c r="I369" s="57"/>
      <c r="J369" s="64"/>
    </row>
    <row r="370">
      <c r="D370" s="74"/>
    </row>
    <row r="371">
      <c r="D371" s="74"/>
    </row>
    <row r="372">
      <c r="D372" s="74"/>
    </row>
    <row r="373">
      <c r="D373" s="74"/>
    </row>
    <row r="374">
      <c r="D374" s="74"/>
    </row>
    <row r="375">
      <c r="D375" s="74"/>
    </row>
    <row r="376">
      <c r="D376" s="74"/>
    </row>
    <row r="377">
      <c r="D377" s="74"/>
    </row>
    <row r="378">
      <c r="D378" s="74"/>
    </row>
    <row r="379">
      <c r="D379" s="74"/>
    </row>
    <row r="380">
      <c r="D380" s="74"/>
    </row>
    <row r="381">
      <c r="D381" s="74"/>
    </row>
    <row r="382">
      <c r="D382" s="74"/>
    </row>
    <row r="383">
      <c r="D383" s="74"/>
    </row>
    <row r="384">
      <c r="D384" s="74"/>
    </row>
    <row r="385">
      <c r="D385" s="74"/>
    </row>
    <row r="386">
      <c r="D386" s="74"/>
    </row>
    <row r="387">
      <c r="D387" s="74"/>
    </row>
    <row r="388">
      <c r="D388" s="74"/>
    </row>
    <row r="389">
      <c r="D389" s="74"/>
    </row>
    <row r="390">
      <c r="D390" s="74"/>
    </row>
    <row r="391">
      <c r="D391" s="74"/>
    </row>
    <row r="392">
      <c r="D392" s="74"/>
    </row>
    <row r="393">
      <c r="D393" s="74"/>
    </row>
    <row r="394">
      <c r="D394" s="74"/>
    </row>
    <row r="395">
      <c r="D395" s="74"/>
    </row>
    <row r="396">
      <c r="D396" s="74"/>
    </row>
    <row r="397">
      <c r="D397" s="74"/>
    </row>
    <row r="398">
      <c r="D398" s="74"/>
    </row>
    <row r="399">
      <c r="D399" s="74"/>
    </row>
    <row r="400">
      <c r="D400" s="74"/>
    </row>
    <row r="401">
      <c r="D401" s="74"/>
    </row>
    <row r="402">
      <c r="D402" s="74"/>
    </row>
    <row r="403">
      <c r="D403" s="74"/>
    </row>
    <row r="404">
      <c r="D404" s="74"/>
    </row>
    <row r="405">
      <c r="D405" s="74"/>
    </row>
    <row r="406">
      <c r="D406" s="74"/>
    </row>
    <row r="407">
      <c r="D407" s="74"/>
    </row>
    <row r="408">
      <c r="D408" s="74"/>
    </row>
    <row r="409">
      <c r="D409" s="74"/>
    </row>
    <row r="410">
      <c r="D410" s="74"/>
    </row>
    <row r="411">
      <c r="D411" s="74"/>
    </row>
    <row r="412">
      <c r="D412" s="74"/>
    </row>
    <row r="413">
      <c r="D413" s="74"/>
    </row>
    <row r="414">
      <c r="D414" s="74"/>
    </row>
    <row r="415">
      <c r="D415" s="74"/>
    </row>
    <row r="416">
      <c r="D416" s="74"/>
    </row>
    <row r="417">
      <c r="D417" s="74"/>
    </row>
    <row r="418">
      <c r="D418" s="74"/>
    </row>
    <row r="419">
      <c r="D419" s="74"/>
    </row>
    <row r="420">
      <c r="D420" s="74"/>
    </row>
    <row r="421">
      <c r="D421" s="74"/>
    </row>
    <row r="422">
      <c r="D422" s="74"/>
    </row>
    <row r="423">
      <c r="D423" s="74"/>
    </row>
    <row r="424">
      <c r="D424" s="74"/>
    </row>
    <row r="425">
      <c r="D425" s="74"/>
    </row>
    <row r="426">
      <c r="D426" s="74"/>
    </row>
    <row r="427">
      <c r="D427" s="74"/>
    </row>
    <row r="428">
      <c r="D428" s="74"/>
    </row>
    <row r="429">
      <c r="D429" s="74"/>
    </row>
    <row r="430">
      <c r="D430" s="74"/>
    </row>
    <row r="431">
      <c r="D431" s="74"/>
    </row>
    <row r="432">
      <c r="D432" s="74"/>
    </row>
    <row r="433">
      <c r="D433" s="74"/>
    </row>
    <row r="434">
      <c r="D434" s="74"/>
    </row>
    <row r="435">
      <c r="D435" s="74"/>
    </row>
    <row r="436">
      <c r="D436" s="74"/>
    </row>
    <row r="437">
      <c r="D437" s="74"/>
    </row>
    <row r="438">
      <c r="D438" s="74"/>
    </row>
    <row r="439">
      <c r="D439" s="74"/>
    </row>
    <row r="440">
      <c r="D440" s="74"/>
    </row>
    <row r="441">
      <c r="D441" s="74"/>
    </row>
    <row r="442">
      <c r="D442" s="74"/>
    </row>
    <row r="443">
      <c r="D443" s="74"/>
    </row>
    <row r="444">
      <c r="D444" s="74"/>
    </row>
    <row r="445">
      <c r="D445" s="74"/>
    </row>
    <row r="446">
      <c r="D446" s="74"/>
    </row>
    <row r="447">
      <c r="D447" s="74"/>
    </row>
    <row r="448">
      <c r="D448" s="74"/>
    </row>
    <row r="449">
      <c r="D449" s="74"/>
    </row>
    <row r="450">
      <c r="D450" s="74"/>
    </row>
    <row r="451">
      <c r="D451" s="74"/>
    </row>
    <row r="452">
      <c r="D452" s="74"/>
    </row>
    <row r="453">
      <c r="D453" s="74"/>
    </row>
    <row r="454">
      <c r="D454" s="74"/>
    </row>
    <row r="455">
      <c r="D455" s="74"/>
    </row>
    <row r="456">
      <c r="D456" s="74"/>
    </row>
    <row r="457">
      <c r="D457" s="74"/>
    </row>
    <row r="458">
      <c r="D458" s="74"/>
    </row>
    <row r="459">
      <c r="D459" s="74"/>
    </row>
    <row r="460">
      <c r="D460" s="74"/>
    </row>
    <row r="461">
      <c r="D461" s="74"/>
    </row>
    <row r="462">
      <c r="D462" s="74"/>
    </row>
    <row r="463">
      <c r="D463" s="74"/>
    </row>
    <row r="464">
      <c r="D464" s="74"/>
    </row>
    <row r="465">
      <c r="D465" s="74"/>
    </row>
    <row r="466">
      <c r="D466" s="74"/>
    </row>
    <row r="467">
      <c r="D467" s="74"/>
    </row>
    <row r="468">
      <c r="D468" s="74"/>
    </row>
    <row r="469">
      <c r="D469" s="74"/>
    </row>
    <row r="470">
      <c r="D470" s="74"/>
    </row>
    <row r="471">
      <c r="D471" s="74"/>
    </row>
    <row r="472">
      <c r="D472" s="74"/>
    </row>
    <row r="473">
      <c r="D473" s="74"/>
    </row>
    <row r="474">
      <c r="D474" s="74"/>
    </row>
    <row r="475">
      <c r="D475" s="74"/>
    </row>
    <row r="476">
      <c r="D476" s="74"/>
    </row>
    <row r="477">
      <c r="D477" s="74"/>
    </row>
    <row r="478">
      <c r="D478" s="74"/>
    </row>
    <row r="479">
      <c r="D479" s="74"/>
    </row>
    <row r="480">
      <c r="D480" s="74"/>
    </row>
    <row r="481">
      <c r="D481" s="74"/>
    </row>
    <row r="482">
      <c r="D482" s="74"/>
    </row>
    <row r="483">
      <c r="D483" s="74"/>
    </row>
    <row r="484">
      <c r="D484" s="74"/>
    </row>
    <row r="485">
      <c r="D485" s="74"/>
    </row>
    <row r="486">
      <c r="D486" s="74"/>
    </row>
    <row r="487">
      <c r="D487" s="74"/>
    </row>
    <row r="488">
      <c r="D488" s="74"/>
    </row>
    <row r="489">
      <c r="D489" s="74"/>
    </row>
    <row r="490">
      <c r="D490" s="74"/>
    </row>
    <row r="491">
      <c r="D491" s="74"/>
    </row>
    <row r="492">
      <c r="D492" s="74"/>
    </row>
    <row r="493">
      <c r="D493" s="74"/>
    </row>
    <row r="494">
      <c r="D494" s="74"/>
    </row>
    <row r="495">
      <c r="D495" s="74"/>
    </row>
    <row r="496">
      <c r="D496" s="74"/>
    </row>
    <row r="497">
      <c r="D497" s="74"/>
    </row>
    <row r="498">
      <c r="D498" s="74"/>
    </row>
    <row r="499">
      <c r="D499" s="74"/>
    </row>
    <row r="500">
      <c r="D500" s="74"/>
    </row>
    <row r="501">
      <c r="D501" s="74"/>
    </row>
    <row r="502">
      <c r="D502" s="74"/>
    </row>
    <row r="503">
      <c r="D503" s="74"/>
    </row>
    <row r="504">
      <c r="D504" s="74"/>
    </row>
    <row r="505">
      <c r="D505" s="74"/>
    </row>
    <row r="506">
      <c r="D506" s="74"/>
    </row>
    <row r="507">
      <c r="D507" s="74"/>
    </row>
    <row r="508">
      <c r="D508" s="74"/>
    </row>
    <row r="509">
      <c r="D509" s="74"/>
    </row>
    <row r="510">
      <c r="D510" s="74"/>
    </row>
    <row r="511">
      <c r="D511" s="74"/>
    </row>
    <row r="512">
      <c r="D512" s="74"/>
    </row>
    <row r="513">
      <c r="D513" s="74"/>
    </row>
    <row r="514">
      <c r="D514" s="74"/>
    </row>
    <row r="515">
      <c r="D515" s="74"/>
    </row>
    <row r="516">
      <c r="D516" s="74"/>
    </row>
    <row r="517">
      <c r="D517" s="74"/>
    </row>
    <row r="518">
      <c r="D518" s="74"/>
    </row>
    <row r="519">
      <c r="D519" s="74"/>
    </row>
    <row r="520">
      <c r="D520" s="74"/>
    </row>
    <row r="521">
      <c r="D521" s="74"/>
    </row>
    <row r="522">
      <c r="D522" s="74"/>
    </row>
    <row r="523">
      <c r="D523" s="74"/>
    </row>
    <row r="524">
      <c r="D524" s="74"/>
    </row>
    <row r="525">
      <c r="D525" s="74"/>
    </row>
    <row r="526">
      <c r="D526" s="74"/>
    </row>
    <row r="527">
      <c r="D527" s="74"/>
    </row>
    <row r="528">
      <c r="D528" s="74"/>
    </row>
    <row r="529">
      <c r="D529" s="74"/>
    </row>
    <row r="530">
      <c r="D530" s="74"/>
    </row>
    <row r="531">
      <c r="D531" s="74"/>
    </row>
    <row r="532">
      <c r="D532" s="74"/>
    </row>
    <row r="533">
      <c r="D533" s="74"/>
    </row>
    <row r="534">
      <c r="D534" s="74"/>
    </row>
    <row r="535">
      <c r="D535" s="74"/>
    </row>
    <row r="536">
      <c r="D536" s="74"/>
    </row>
    <row r="537">
      <c r="D537" s="74"/>
    </row>
    <row r="538">
      <c r="D538" s="74"/>
    </row>
    <row r="539">
      <c r="D539" s="74"/>
    </row>
    <row r="540">
      <c r="D540" s="74"/>
    </row>
    <row r="541">
      <c r="D541" s="74"/>
    </row>
    <row r="542">
      <c r="D542" s="74"/>
    </row>
    <row r="543">
      <c r="D543" s="74"/>
    </row>
    <row r="544">
      <c r="D544" s="74"/>
    </row>
    <row r="545">
      <c r="D545" s="74"/>
    </row>
    <row r="546">
      <c r="D546" s="74"/>
    </row>
    <row r="547">
      <c r="D547" s="74"/>
    </row>
    <row r="548">
      <c r="D548" s="74"/>
    </row>
    <row r="549">
      <c r="D549" s="74"/>
    </row>
    <row r="550">
      <c r="D550" s="74"/>
    </row>
    <row r="551">
      <c r="D551" s="74"/>
    </row>
    <row r="552">
      <c r="D552" s="74"/>
    </row>
    <row r="553">
      <c r="D553" s="74"/>
    </row>
    <row r="554">
      <c r="D554" s="74"/>
    </row>
    <row r="555">
      <c r="D555" s="74"/>
    </row>
    <row r="556">
      <c r="D556" s="74"/>
    </row>
    <row r="557">
      <c r="D557" s="74"/>
    </row>
    <row r="558">
      <c r="D558" s="74"/>
    </row>
    <row r="559">
      <c r="D559" s="74"/>
    </row>
    <row r="560">
      <c r="D560" s="74"/>
    </row>
    <row r="561">
      <c r="D561" s="74"/>
    </row>
    <row r="562">
      <c r="D562" s="74"/>
    </row>
    <row r="563">
      <c r="D563" s="74"/>
    </row>
    <row r="564">
      <c r="D564" s="74"/>
    </row>
    <row r="565">
      <c r="D565" s="74"/>
    </row>
    <row r="566">
      <c r="D566" s="74"/>
    </row>
    <row r="567">
      <c r="D567" s="74"/>
    </row>
    <row r="568">
      <c r="D568" s="74"/>
    </row>
    <row r="569">
      <c r="D569" s="74"/>
    </row>
    <row r="570">
      <c r="D570" s="74"/>
    </row>
    <row r="571">
      <c r="D571" s="74"/>
    </row>
    <row r="572">
      <c r="D572" s="74"/>
    </row>
    <row r="573">
      <c r="D573" s="74"/>
    </row>
    <row r="574">
      <c r="D574" s="74"/>
    </row>
    <row r="575">
      <c r="D575" s="74"/>
    </row>
    <row r="576">
      <c r="D576" s="74"/>
    </row>
    <row r="577">
      <c r="D577" s="74"/>
    </row>
    <row r="578">
      <c r="D578" s="74"/>
    </row>
    <row r="579">
      <c r="D579" s="74"/>
    </row>
    <row r="580">
      <c r="D580" s="74"/>
    </row>
    <row r="581">
      <c r="D581" s="74"/>
    </row>
    <row r="582">
      <c r="D582" s="74"/>
    </row>
    <row r="583">
      <c r="D583" s="74"/>
    </row>
    <row r="584">
      <c r="D584" s="74"/>
    </row>
    <row r="585">
      <c r="D585" s="74"/>
    </row>
    <row r="586">
      <c r="D586" s="74"/>
    </row>
    <row r="587">
      <c r="D587" s="74"/>
    </row>
    <row r="588">
      <c r="D588" s="74"/>
    </row>
    <row r="589">
      <c r="D589" s="74"/>
    </row>
    <row r="590">
      <c r="D590" s="74"/>
    </row>
    <row r="591">
      <c r="D591" s="74"/>
    </row>
    <row r="592">
      <c r="D592" s="74"/>
    </row>
    <row r="593">
      <c r="D593" s="74"/>
    </row>
    <row r="594">
      <c r="D594" s="74"/>
    </row>
    <row r="595">
      <c r="D595" s="74"/>
    </row>
    <row r="596">
      <c r="D596" s="74"/>
    </row>
    <row r="597">
      <c r="D597" s="74"/>
    </row>
    <row r="598">
      <c r="D598" s="74"/>
    </row>
    <row r="599">
      <c r="D599" s="74"/>
    </row>
    <row r="600">
      <c r="D600" s="74"/>
    </row>
    <row r="601">
      <c r="D601" s="74"/>
    </row>
    <row r="602">
      <c r="D602" s="74"/>
    </row>
    <row r="603">
      <c r="D603" s="74"/>
    </row>
    <row r="604">
      <c r="D604" s="74"/>
    </row>
    <row r="605">
      <c r="D605" s="74"/>
    </row>
    <row r="606">
      <c r="D606" s="74"/>
    </row>
    <row r="607">
      <c r="D607" s="74"/>
    </row>
    <row r="608">
      <c r="D608" s="74"/>
    </row>
    <row r="609">
      <c r="D609" s="74"/>
    </row>
    <row r="610">
      <c r="D610" s="74"/>
    </row>
    <row r="611">
      <c r="D611" s="74"/>
    </row>
    <row r="612">
      <c r="D612" s="74"/>
    </row>
    <row r="613">
      <c r="D613" s="74"/>
    </row>
    <row r="614">
      <c r="D614" s="74"/>
    </row>
    <row r="615">
      <c r="D615" s="74"/>
    </row>
    <row r="616">
      <c r="D616" s="74"/>
    </row>
    <row r="617">
      <c r="D617" s="74"/>
    </row>
    <row r="618">
      <c r="D618" s="74"/>
    </row>
    <row r="619">
      <c r="D619" s="74"/>
    </row>
    <row r="620">
      <c r="D620" s="74"/>
    </row>
    <row r="621">
      <c r="D621" s="74"/>
    </row>
    <row r="622">
      <c r="D622" s="74"/>
    </row>
    <row r="623">
      <c r="D623" s="74"/>
    </row>
    <row r="624">
      <c r="D624" s="74"/>
    </row>
    <row r="625">
      <c r="D625" s="74"/>
    </row>
    <row r="626">
      <c r="D626" s="74"/>
    </row>
    <row r="627">
      <c r="D627" s="74"/>
    </row>
    <row r="628">
      <c r="D628" s="74"/>
    </row>
    <row r="629">
      <c r="D629" s="74"/>
    </row>
    <row r="630">
      <c r="D630" s="74"/>
    </row>
    <row r="631">
      <c r="D631" s="74"/>
    </row>
    <row r="632">
      <c r="D632" s="74"/>
    </row>
    <row r="633">
      <c r="D633" s="74"/>
    </row>
    <row r="634">
      <c r="D634" s="74"/>
    </row>
    <row r="635">
      <c r="D635" s="74"/>
    </row>
    <row r="636">
      <c r="D636" s="74"/>
    </row>
    <row r="637">
      <c r="D637" s="74"/>
    </row>
    <row r="638">
      <c r="D638" s="74"/>
    </row>
    <row r="639">
      <c r="D639" s="74"/>
    </row>
    <row r="640">
      <c r="D640" s="74"/>
    </row>
    <row r="641">
      <c r="D641" s="74"/>
    </row>
    <row r="642">
      <c r="D642" s="74"/>
    </row>
    <row r="643">
      <c r="D643" s="74"/>
    </row>
    <row r="644">
      <c r="D644" s="74"/>
    </row>
    <row r="645">
      <c r="D645" s="74"/>
    </row>
    <row r="646">
      <c r="D646" s="74"/>
    </row>
    <row r="647">
      <c r="D647" s="74"/>
    </row>
    <row r="648">
      <c r="D648" s="74"/>
    </row>
    <row r="649">
      <c r="D649" s="74"/>
    </row>
    <row r="650">
      <c r="D650" s="74"/>
    </row>
    <row r="651">
      <c r="D651" s="74"/>
    </row>
    <row r="652">
      <c r="D652" s="74"/>
    </row>
    <row r="653">
      <c r="D653" s="74"/>
    </row>
    <row r="654">
      <c r="D654" s="74"/>
    </row>
    <row r="655">
      <c r="D655" s="74"/>
    </row>
    <row r="656">
      <c r="D656" s="74"/>
    </row>
    <row r="657">
      <c r="D657" s="74"/>
    </row>
    <row r="658">
      <c r="D658" s="74"/>
    </row>
    <row r="659">
      <c r="D659" s="74"/>
    </row>
    <row r="660">
      <c r="D660" s="74"/>
    </row>
    <row r="661">
      <c r="D661" s="74"/>
    </row>
    <row r="662">
      <c r="D662" s="74"/>
    </row>
    <row r="663">
      <c r="D663" s="74"/>
    </row>
    <row r="664">
      <c r="D664" s="74"/>
    </row>
    <row r="665">
      <c r="D665" s="74"/>
    </row>
    <row r="666">
      <c r="D666" s="74"/>
    </row>
    <row r="667">
      <c r="D667" s="74"/>
    </row>
    <row r="668">
      <c r="D668" s="74"/>
    </row>
    <row r="669">
      <c r="D669" s="74"/>
    </row>
    <row r="670">
      <c r="D670" s="74"/>
    </row>
    <row r="671">
      <c r="D671" s="74"/>
    </row>
    <row r="672">
      <c r="D672" s="74"/>
    </row>
    <row r="673">
      <c r="D673" s="74"/>
    </row>
    <row r="674">
      <c r="D674" s="74"/>
    </row>
    <row r="675">
      <c r="D675" s="74"/>
    </row>
    <row r="676">
      <c r="D676" s="74"/>
    </row>
    <row r="677">
      <c r="D677" s="74"/>
    </row>
    <row r="678">
      <c r="D678" s="74"/>
    </row>
    <row r="679">
      <c r="D679" s="74"/>
    </row>
    <row r="680">
      <c r="D680" s="74"/>
    </row>
    <row r="681">
      <c r="D681" s="74"/>
    </row>
    <row r="682">
      <c r="D682" s="74"/>
    </row>
    <row r="683">
      <c r="D683" s="74"/>
    </row>
    <row r="684">
      <c r="D684" s="74"/>
    </row>
    <row r="685">
      <c r="D685" s="74"/>
    </row>
    <row r="686">
      <c r="D686" s="74"/>
    </row>
    <row r="687">
      <c r="D687" s="74"/>
    </row>
    <row r="688">
      <c r="D688" s="74"/>
    </row>
    <row r="689">
      <c r="D689" s="74"/>
    </row>
    <row r="690">
      <c r="D690" s="74"/>
    </row>
    <row r="691">
      <c r="D691" s="74"/>
    </row>
    <row r="692">
      <c r="D692" s="74"/>
    </row>
    <row r="693">
      <c r="D693" s="74"/>
    </row>
    <row r="694">
      <c r="D694" s="74"/>
    </row>
    <row r="695">
      <c r="D695" s="74"/>
    </row>
    <row r="696">
      <c r="D696" s="74"/>
    </row>
    <row r="697">
      <c r="D697" s="74"/>
    </row>
    <row r="698">
      <c r="D698" s="74"/>
    </row>
    <row r="699">
      <c r="D699" s="74"/>
    </row>
    <row r="700">
      <c r="D700" s="74"/>
    </row>
    <row r="701">
      <c r="D701" s="74"/>
    </row>
    <row r="702">
      <c r="D702" s="74"/>
    </row>
    <row r="703">
      <c r="D703" s="74"/>
    </row>
    <row r="704">
      <c r="D704" s="74"/>
    </row>
    <row r="705">
      <c r="D705" s="74"/>
    </row>
    <row r="706">
      <c r="D706" s="74"/>
    </row>
    <row r="707">
      <c r="D707" s="74"/>
    </row>
    <row r="708">
      <c r="D708" s="74"/>
    </row>
    <row r="709">
      <c r="D709" s="74"/>
    </row>
    <row r="710">
      <c r="D710" s="74"/>
    </row>
    <row r="711">
      <c r="D711" s="74"/>
    </row>
    <row r="712">
      <c r="D712" s="74"/>
    </row>
    <row r="713">
      <c r="D713" s="74"/>
    </row>
    <row r="714">
      <c r="D714" s="74"/>
    </row>
    <row r="715">
      <c r="D715" s="74"/>
    </row>
    <row r="716">
      <c r="D716" s="74"/>
    </row>
    <row r="717">
      <c r="D717" s="74"/>
    </row>
    <row r="718">
      <c r="D718" s="74"/>
    </row>
    <row r="719">
      <c r="D719" s="74"/>
    </row>
    <row r="720">
      <c r="D720" s="74"/>
    </row>
    <row r="721">
      <c r="D721" s="74"/>
    </row>
    <row r="722">
      <c r="D722" s="74"/>
    </row>
    <row r="723">
      <c r="D723" s="74"/>
    </row>
    <row r="724">
      <c r="D724" s="74"/>
    </row>
    <row r="725">
      <c r="D725" s="74"/>
    </row>
    <row r="726">
      <c r="D726" s="74"/>
    </row>
    <row r="727">
      <c r="D727" s="74"/>
    </row>
    <row r="728">
      <c r="D728" s="74"/>
    </row>
    <row r="729">
      <c r="D729" s="74"/>
    </row>
    <row r="730">
      <c r="D730" s="74"/>
    </row>
    <row r="731">
      <c r="D731" s="74"/>
    </row>
    <row r="732">
      <c r="D732" s="74"/>
    </row>
    <row r="733">
      <c r="D733" s="74"/>
    </row>
    <row r="734">
      <c r="D734" s="74"/>
    </row>
    <row r="735">
      <c r="D735" s="74"/>
    </row>
    <row r="736">
      <c r="D736" s="74"/>
    </row>
    <row r="737">
      <c r="D737" s="74"/>
    </row>
    <row r="738">
      <c r="D738" s="74"/>
    </row>
    <row r="739">
      <c r="D739" s="74"/>
    </row>
    <row r="740">
      <c r="D740" s="74"/>
    </row>
    <row r="741">
      <c r="D741" s="74"/>
    </row>
    <row r="742">
      <c r="D742" s="74"/>
    </row>
    <row r="743">
      <c r="D743" s="74"/>
    </row>
    <row r="744">
      <c r="D744" s="74"/>
    </row>
    <row r="745">
      <c r="D745" s="74"/>
    </row>
    <row r="746">
      <c r="D746" s="74"/>
    </row>
    <row r="747">
      <c r="D747" s="74"/>
    </row>
    <row r="748">
      <c r="D748" s="74"/>
    </row>
    <row r="749">
      <c r="D749" s="74"/>
    </row>
    <row r="750">
      <c r="D750" s="74"/>
    </row>
    <row r="751">
      <c r="D751" s="74"/>
    </row>
    <row r="752">
      <c r="D752" s="74"/>
    </row>
    <row r="753">
      <c r="D753" s="74"/>
    </row>
    <row r="754">
      <c r="D754" s="74"/>
    </row>
    <row r="755">
      <c r="D755" s="74"/>
    </row>
    <row r="756">
      <c r="D756" s="74"/>
    </row>
    <row r="757">
      <c r="D757" s="74"/>
    </row>
    <row r="758">
      <c r="D758" s="74"/>
    </row>
    <row r="759">
      <c r="D759" s="74"/>
    </row>
    <row r="760">
      <c r="D760" s="74"/>
    </row>
    <row r="761">
      <c r="D761" s="74"/>
    </row>
    <row r="762">
      <c r="D762" s="74"/>
    </row>
    <row r="763">
      <c r="D763" s="74"/>
    </row>
    <row r="764">
      <c r="D764" s="74"/>
    </row>
    <row r="765">
      <c r="D765" s="74"/>
    </row>
    <row r="766">
      <c r="D766" s="74"/>
    </row>
    <row r="767">
      <c r="D767" s="74"/>
    </row>
    <row r="768">
      <c r="D768" s="74"/>
    </row>
    <row r="769">
      <c r="D769" s="74"/>
    </row>
    <row r="770">
      <c r="D770" s="74"/>
    </row>
    <row r="771">
      <c r="D771" s="74"/>
    </row>
    <row r="772">
      <c r="D772" s="74"/>
    </row>
    <row r="773">
      <c r="D773" s="74"/>
    </row>
    <row r="774">
      <c r="D774" s="74"/>
    </row>
    <row r="775">
      <c r="D775" s="74"/>
    </row>
    <row r="776">
      <c r="D776" s="74"/>
    </row>
    <row r="777">
      <c r="D777" s="74"/>
    </row>
    <row r="778">
      <c r="D778" s="74"/>
    </row>
    <row r="779">
      <c r="D779" s="74"/>
    </row>
    <row r="780">
      <c r="D780" s="74"/>
    </row>
    <row r="781">
      <c r="D781" s="74"/>
    </row>
    <row r="782">
      <c r="D782" s="74"/>
    </row>
    <row r="783">
      <c r="D783" s="74"/>
    </row>
    <row r="784">
      <c r="D784" s="74"/>
    </row>
    <row r="785">
      <c r="D785" s="74"/>
    </row>
    <row r="786">
      <c r="D786" s="74"/>
    </row>
    <row r="787">
      <c r="D787" s="74"/>
    </row>
    <row r="788">
      <c r="D788" s="74"/>
    </row>
    <row r="789">
      <c r="D789" s="74"/>
    </row>
    <row r="790">
      <c r="D790" s="74"/>
    </row>
    <row r="791">
      <c r="D791" s="74"/>
    </row>
    <row r="792">
      <c r="D792" s="74"/>
    </row>
    <row r="793">
      <c r="D793" s="74"/>
    </row>
    <row r="794">
      <c r="D794" s="74"/>
    </row>
    <row r="795">
      <c r="D795" s="74"/>
    </row>
    <row r="796">
      <c r="D796" s="74"/>
    </row>
    <row r="797">
      <c r="D797" s="74"/>
    </row>
    <row r="798">
      <c r="D798" s="74"/>
    </row>
    <row r="799">
      <c r="D799" s="74"/>
    </row>
    <row r="800">
      <c r="D800" s="74"/>
    </row>
    <row r="801">
      <c r="D801" s="74"/>
    </row>
    <row r="802">
      <c r="D802" s="74"/>
    </row>
    <row r="803">
      <c r="D803" s="74"/>
    </row>
    <row r="804">
      <c r="D804" s="74"/>
    </row>
    <row r="805">
      <c r="D805" s="74"/>
    </row>
    <row r="806">
      <c r="D806" s="74"/>
    </row>
    <row r="807">
      <c r="D807" s="74"/>
    </row>
    <row r="808">
      <c r="D808" s="74"/>
    </row>
    <row r="809">
      <c r="D809" s="74"/>
    </row>
    <row r="810">
      <c r="D810" s="74"/>
    </row>
    <row r="811">
      <c r="D811" s="74"/>
    </row>
    <row r="812">
      <c r="D812" s="74"/>
    </row>
    <row r="813">
      <c r="D813" s="74"/>
    </row>
    <row r="814">
      <c r="D814" s="74"/>
    </row>
    <row r="815">
      <c r="D815" s="74"/>
    </row>
    <row r="816">
      <c r="D816" s="74"/>
    </row>
    <row r="817">
      <c r="D817" s="74"/>
    </row>
    <row r="818">
      <c r="D818" s="74"/>
    </row>
    <row r="819">
      <c r="D819" s="74"/>
    </row>
    <row r="820">
      <c r="D820" s="74"/>
    </row>
    <row r="821">
      <c r="D821" s="74"/>
    </row>
    <row r="822">
      <c r="D822" s="74"/>
    </row>
    <row r="823">
      <c r="D823" s="74"/>
    </row>
    <row r="824">
      <c r="D824" s="74"/>
    </row>
    <row r="825">
      <c r="D825" s="74"/>
    </row>
    <row r="826">
      <c r="D826" s="74"/>
    </row>
    <row r="827">
      <c r="D827" s="74"/>
    </row>
    <row r="828">
      <c r="D828" s="74"/>
    </row>
    <row r="829">
      <c r="D829" s="74"/>
    </row>
    <row r="830">
      <c r="D830" s="74"/>
    </row>
    <row r="831">
      <c r="D831" s="74"/>
    </row>
    <row r="832">
      <c r="D832" s="74"/>
    </row>
    <row r="833">
      <c r="D833" s="74"/>
    </row>
    <row r="834">
      <c r="D834" s="74"/>
    </row>
    <row r="835">
      <c r="D835" s="74"/>
    </row>
    <row r="836">
      <c r="D836" s="74"/>
    </row>
    <row r="837">
      <c r="D837" s="74"/>
    </row>
    <row r="838">
      <c r="D838" s="74"/>
    </row>
    <row r="839">
      <c r="D839" s="74"/>
    </row>
    <row r="840">
      <c r="D840" s="74"/>
    </row>
    <row r="841">
      <c r="D841" s="74"/>
    </row>
    <row r="842">
      <c r="D842" s="74"/>
    </row>
    <row r="843">
      <c r="D843" s="74"/>
    </row>
    <row r="844">
      <c r="D844" s="74"/>
    </row>
    <row r="845">
      <c r="D845" s="74"/>
    </row>
    <row r="846">
      <c r="D846" s="74"/>
    </row>
    <row r="847">
      <c r="D847" s="74"/>
    </row>
    <row r="848">
      <c r="D848" s="74"/>
    </row>
    <row r="849">
      <c r="D849" s="74"/>
    </row>
    <row r="850">
      <c r="D850" s="74"/>
    </row>
    <row r="851">
      <c r="D851" s="74"/>
    </row>
    <row r="852">
      <c r="D852" s="74"/>
    </row>
    <row r="853">
      <c r="D853" s="74"/>
    </row>
    <row r="854">
      <c r="D854" s="74"/>
    </row>
    <row r="855">
      <c r="D855" s="74"/>
    </row>
    <row r="856">
      <c r="D856" s="74"/>
    </row>
    <row r="857">
      <c r="D857" s="74"/>
    </row>
    <row r="858">
      <c r="D858" s="74"/>
    </row>
    <row r="859">
      <c r="D859" s="74"/>
    </row>
    <row r="860">
      <c r="D860" s="74"/>
    </row>
    <row r="861">
      <c r="D861" s="74"/>
    </row>
    <row r="862">
      <c r="D862" s="74"/>
    </row>
    <row r="863">
      <c r="D863" s="74"/>
    </row>
    <row r="864">
      <c r="D864" s="74"/>
    </row>
    <row r="865">
      <c r="D865" s="74"/>
    </row>
    <row r="866">
      <c r="D866" s="74"/>
    </row>
    <row r="867">
      <c r="D867" s="74"/>
    </row>
    <row r="868">
      <c r="D868" s="74"/>
    </row>
    <row r="869">
      <c r="D869" s="74"/>
    </row>
    <row r="870">
      <c r="D870" s="74"/>
    </row>
    <row r="871">
      <c r="D871" s="74"/>
    </row>
    <row r="872">
      <c r="D872" s="74"/>
    </row>
    <row r="873">
      <c r="D873" s="74"/>
    </row>
    <row r="874">
      <c r="D874" s="74"/>
    </row>
    <row r="875">
      <c r="D875" s="74"/>
    </row>
    <row r="876">
      <c r="D876" s="74"/>
    </row>
    <row r="877">
      <c r="D877" s="74"/>
    </row>
    <row r="878">
      <c r="D878" s="74"/>
    </row>
    <row r="879">
      <c r="D879" s="74"/>
    </row>
    <row r="880">
      <c r="D880" s="74"/>
    </row>
    <row r="881">
      <c r="D881" s="74"/>
    </row>
    <row r="882">
      <c r="D882" s="74"/>
    </row>
    <row r="883">
      <c r="D883" s="74"/>
    </row>
    <row r="884">
      <c r="D884" s="74"/>
    </row>
    <row r="885">
      <c r="D885" s="74"/>
    </row>
    <row r="886">
      <c r="D886" s="74"/>
    </row>
    <row r="887">
      <c r="D887" s="74"/>
    </row>
    <row r="888">
      <c r="D888" s="74"/>
    </row>
    <row r="889">
      <c r="D889" s="74"/>
    </row>
    <row r="890">
      <c r="D890" s="74"/>
    </row>
    <row r="891">
      <c r="D891" s="74"/>
    </row>
    <row r="892">
      <c r="D892" s="74"/>
    </row>
    <row r="893">
      <c r="D893" s="74"/>
    </row>
    <row r="894">
      <c r="D894" s="74"/>
    </row>
    <row r="895">
      <c r="D895" s="74"/>
    </row>
    <row r="896">
      <c r="D896" s="74"/>
    </row>
    <row r="897">
      <c r="D897" s="74"/>
    </row>
    <row r="898">
      <c r="D898" s="74"/>
    </row>
    <row r="899">
      <c r="D899" s="74"/>
    </row>
    <row r="900">
      <c r="D900" s="74"/>
    </row>
    <row r="901">
      <c r="D901" s="74"/>
    </row>
    <row r="902">
      <c r="D902" s="74"/>
    </row>
    <row r="903">
      <c r="D903" s="74"/>
    </row>
    <row r="904">
      <c r="D904" s="74"/>
    </row>
    <row r="905">
      <c r="D905" s="74"/>
    </row>
    <row r="906">
      <c r="D906" s="74"/>
    </row>
    <row r="907">
      <c r="D907" s="74"/>
    </row>
    <row r="908">
      <c r="D908" s="74"/>
    </row>
    <row r="909">
      <c r="D909" s="74"/>
    </row>
    <row r="910">
      <c r="D910" s="74"/>
    </row>
    <row r="911">
      <c r="D911" s="74"/>
    </row>
    <row r="912">
      <c r="D912" s="74"/>
    </row>
    <row r="913">
      <c r="D913" s="74"/>
    </row>
    <row r="914">
      <c r="D914" s="74"/>
    </row>
    <row r="915">
      <c r="D915" s="74"/>
    </row>
    <row r="916">
      <c r="D916" s="74"/>
    </row>
    <row r="917">
      <c r="D917" s="74"/>
    </row>
    <row r="918">
      <c r="D918" s="74"/>
    </row>
    <row r="919">
      <c r="D919" s="74"/>
    </row>
    <row r="920">
      <c r="D920" s="74"/>
    </row>
    <row r="921">
      <c r="D921" s="74"/>
    </row>
    <row r="922">
      <c r="D922" s="74"/>
    </row>
    <row r="923">
      <c r="D923" s="74"/>
    </row>
    <row r="924">
      <c r="D924" s="74"/>
    </row>
    <row r="925">
      <c r="D925" s="74"/>
    </row>
    <row r="926">
      <c r="D926" s="74"/>
    </row>
    <row r="927">
      <c r="D927" s="74"/>
    </row>
    <row r="928">
      <c r="D928" s="74"/>
    </row>
    <row r="929">
      <c r="D929" s="74"/>
    </row>
    <row r="930">
      <c r="D930" s="74"/>
    </row>
    <row r="931">
      <c r="D931" s="74"/>
    </row>
    <row r="932">
      <c r="D932" s="74"/>
    </row>
    <row r="933">
      <c r="D933" s="74"/>
    </row>
    <row r="934">
      <c r="D934" s="74"/>
    </row>
    <row r="935">
      <c r="D935" s="74"/>
    </row>
    <row r="936">
      <c r="D936" s="74"/>
    </row>
    <row r="937">
      <c r="D937" s="74"/>
    </row>
    <row r="938">
      <c r="D938" s="74"/>
    </row>
    <row r="939">
      <c r="D939" s="74"/>
    </row>
    <row r="940">
      <c r="D940" s="74"/>
    </row>
    <row r="941">
      <c r="D941" s="74"/>
    </row>
    <row r="942">
      <c r="D942" s="74"/>
    </row>
    <row r="943">
      <c r="D943" s="74"/>
    </row>
    <row r="944">
      <c r="D944" s="74"/>
    </row>
    <row r="945">
      <c r="D945" s="74"/>
    </row>
    <row r="946">
      <c r="D946" s="74"/>
    </row>
    <row r="947">
      <c r="D947" s="74"/>
    </row>
    <row r="948">
      <c r="D948" s="74"/>
    </row>
    <row r="949">
      <c r="D949" s="74"/>
    </row>
    <row r="950">
      <c r="D950" s="74"/>
    </row>
    <row r="951">
      <c r="D951" s="74"/>
    </row>
    <row r="952">
      <c r="D952" s="74"/>
    </row>
    <row r="953">
      <c r="D953" s="74"/>
    </row>
    <row r="954">
      <c r="D954" s="74"/>
    </row>
    <row r="955">
      <c r="D955" s="74"/>
    </row>
    <row r="956">
      <c r="D956" s="74"/>
    </row>
    <row r="957">
      <c r="D957" s="74"/>
    </row>
    <row r="958">
      <c r="D958" s="74"/>
    </row>
    <row r="959">
      <c r="D959" s="74"/>
    </row>
    <row r="960">
      <c r="D960" s="74"/>
    </row>
    <row r="961">
      <c r="D961" s="74"/>
    </row>
    <row r="962">
      <c r="D962" s="74"/>
    </row>
    <row r="963">
      <c r="D963" s="74"/>
    </row>
    <row r="964">
      <c r="D964" s="74"/>
    </row>
    <row r="965">
      <c r="D965" s="74"/>
    </row>
    <row r="966">
      <c r="D966" s="74"/>
    </row>
    <row r="967">
      <c r="D967" s="74"/>
    </row>
    <row r="968">
      <c r="D968" s="74"/>
    </row>
    <row r="969">
      <c r="D969" s="74"/>
    </row>
    <row r="970">
      <c r="D970" s="74"/>
    </row>
    <row r="971">
      <c r="D971" s="74"/>
    </row>
    <row r="972">
      <c r="D972" s="74"/>
    </row>
    <row r="973">
      <c r="D973" s="74"/>
    </row>
    <row r="974">
      <c r="D974" s="74"/>
    </row>
    <row r="975">
      <c r="D975" s="74"/>
    </row>
    <row r="976">
      <c r="D976" s="74"/>
    </row>
    <row r="977">
      <c r="D977" s="74"/>
    </row>
    <row r="978">
      <c r="D978" s="74"/>
    </row>
    <row r="979">
      <c r="D979" s="74"/>
    </row>
    <row r="980">
      <c r="D980" s="74"/>
    </row>
    <row r="981">
      <c r="D981" s="74"/>
    </row>
    <row r="982">
      <c r="D982" s="74"/>
    </row>
    <row r="983">
      <c r="D983" s="74"/>
    </row>
    <row r="984">
      <c r="D984" s="74"/>
    </row>
    <row r="985">
      <c r="D985" s="74"/>
    </row>
    <row r="986">
      <c r="D986" s="74"/>
    </row>
    <row r="987">
      <c r="D987" s="74"/>
    </row>
    <row r="988">
      <c r="D988" s="74"/>
    </row>
    <row r="989">
      <c r="D989" s="74"/>
    </row>
    <row r="990">
      <c r="D990" s="74"/>
    </row>
    <row r="991">
      <c r="D991" s="74"/>
    </row>
    <row r="992">
      <c r="D992" s="74"/>
    </row>
    <row r="993">
      <c r="D993" s="74"/>
    </row>
    <row r="994">
      <c r="D994" s="74"/>
    </row>
    <row r="995">
      <c r="D995" s="74"/>
    </row>
    <row r="996">
      <c r="D996" s="74"/>
    </row>
    <row r="997">
      <c r="D997" s="74"/>
    </row>
    <row r="998">
      <c r="D998" s="74"/>
    </row>
    <row r="999">
      <c r="D999" s="74"/>
    </row>
    <row r="1000">
      <c r="D1000" s="74"/>
    </row>
    <row r="1001">
      <c r="D1001" s="74"/>
    </row>
    <row r="1002">
      <c r="D1002" s="74"/>
    </row>
    <row r="1003">
      <c r="D1003" s="74"/>
    </row>
    <row r="1004">
      <c r="D1004" s="74"/>
    </row>
    <row r="1005">
      <c r="D1005" s="74"/>
    </row>
    <row r="1006">
      <c r="D1006" s="74"/>
    </row>
    <row r="1007">
      <c r="D1007" s="74"/>
    </row>
    <row r="1008">
      <c r="D1008" s="74"/>
    </row>
    <row r="1009">
      <c r="D1009" s="74"/>
    </row>
    <row r="1010">
      <c r="D1010" s="74"/>
    </row>
    <row r="1011">
      <c r="D1011" s="74"/>
    </row>
    <row r="1012">
      <c r="D1012" s="74"/>
    </row>
    <row r="1013">
      <c r="D1013" s="74"/>
    </row>
    <row r="1014">
      <c r="D1014" s="74"/>
    </row>
    <row r="1015">
      <c r="D1015" s="74"/>
    </row>
    <row r="1016">
      <c r="D1016" s="74"/>
    </row>
    <row r="1017">
      <c r="D1017" s="74"/>
    </row>
    <row r="1018">
      <c r="D1018" s="74"/>
    </row>
    <row r="1019">
      <c r="D1019" s="74"/>
    </row>
    <row r="1020">
      <c r="D1020" s="74"/>
    </row>
    <row r="1021">
      <c r="D1021" s="74"/>
    </row>
    <row r="1022">
      <c r="D1022" s="74"/>
    </row>
    <row r="1023">
      <c r="D1023" s="74"/>
    </row>
    <row r="1024">
      <c r="D1024" s="74"/>
    </row>
    <row r="1025">
      <c r="D1025" s="74"/>
    </row>
    <row r="1026">
      <c r="D1026" s="74"/>
    </row>
    <row r="1027">
      <c r="D1027" s="74"/>
    </row>
    <row r="1028">
      <c r="D1028" s="74"/>
    </row>
    <row r="1029">
      <c r="D1029" s="74"/>
    </row>
    <row r="1030">
      <c r="D1030" s="74"/>
    </row>
    <row r="1031">
      <c r="D1031" s="74"/>
    </row>
    <row r="1032">
      <c r="D1032" s="74"/>
    </row>
    <row r="1033">
      <c r="D1033" s="74"/>
    </row>
    <row r="1034">
      <c r="D1034" s="74"/>
    </row>
    <row r="1035">
      <c r="D1035" s="74"/>
    </row>
    <row r="1036">
      <c r="D1036" s="74"/>
    </row>
    <row r="1037">
      <c r="D1037" s="74"/>
    </row>
    <row r="1038">
      <c r="D1038" s="74"/>
    </row>
    <row r="1039">
      <c r="D1039" s="74"/>
    </row>
    <row r="1040">
      <c r="D1040" s="74"/>
    </row>
    <row r="1041">
      <c r="D1041" s="74"/>
    </row>
    <row r="1042">
      <c r="D1042" s="74"/>
    </row>
    <row r="1043">
      <c r="D1043" s="74"/>
    </row>
    <row r="1044">
      <c r="D1044" s="74"/>
    </row>
    <row r="1045">
      <c r="D1045" s="74"/>
    </row>
    <row r="1046">
      <c r="D1046" s="74"/>
    </row>
    <row r="1047">
      <c r="D1047" s="74"/>
    </row>
    <row r="1048">
      <c r="D1048" s="74"/>
    </row>
    <row r="1049">
      <c r="D1049" s="74"/>
    </row>
    <row r="1050">
      <c r="D1050" s="74"/>
    </row>
    <row r="1051">
      <c r="D1051" s="74"/>
    </row>
    <row r="1052">
      <c r="D1052" s="74"/>
    </row>
    <row r="1053">
      <c r="D1053" s="74"/>
    </row>
    <row r="1054">
      <c r="D1054" s="74"/>
    </row>
    <row r="1055">
      <c r="D1055" s="74"/>
    </row>
    <row r="1056">
      <c r="D1056" s="74"/>
    </row>
    <row r="1057">
      <c r="D1057" s="74"/>
    </row>
    <row r="1058">
      <c r="D1058" s="74"/>
    </row>
    <row r="1059">
      <c r="D1059" s="74"/>
    </row>
    <row r="1060">
      <c r="D1060" s="74"/>
    </row>
    <row r="1061">
      <c r="D1061" s="74"/>
    </row>
    <row r="1062">
      <c r="D1062" s="74"/>
    </row>
    <row r="1063">
      <c r="D1063" s="74"/>
    </row>
    <row r="1064">
      <c r="D1064" s="74"/>
    </row>
    <row r="1065">
      <c r="D1065" s="74"/>
    </row>
    <row r="1066">
      <c r="D1066" s="74"/>
    </row>
    <row r="1067">
      <c r="D1067" s="74"/>
    </row>
    <row r="1068">
      <c r="D1068" s="74"/>
    </row>
    <row r="1069">
      <c r="D1069" s="74"/>
    </row>
    <row r="1070">
      <c r="D1070" s="74"/>
    </row>
    <row r="1071">
      <c r="D1071" s="74"/>
    </row>
    <row r="1072">
      <c r="D1072" s="74"/>
    </row>
    <row r="1073">
      <c r="D1073" s="74"/>
    </row>
    <row r="1074">
      <c r="D1074" s="74"/>
    </row>
    <row r="1075">
      <c r="D1075" s="74"/>
    </row>
  </sheetData>
  <autoFilter ref="$A$1:$Z$1075"/>
  <mergeCells count="1">
    <mergeCell ref="M205:N20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3" max="3" width="29.5"/>
    <col customWidth="1" min="4" max="4" width="10.63"/>
    <col customWidth="1" min="5" max="5" width="12.13"/>
    <col customWidth="1" min="6" max="6" width="12.5"/>
    <col customWidth="1" min="9" max="9" width="21.75"/>
    <col customWidth="1" min="10" max="10" width="19.88"/>
  </cols>
  <sheetData>
    <row r="1">
      <c r="A1" s="1" t="s">
        <v>1</v>
      </c>
      <c r="B1" s="1" t="s">
        <v>2</v>
      </c>
      <c r="C1" s="1" t="s">
        <v>3</v>
      </c>
      <c r="D1" s="2" t="s">
        <v>4</v>
      </c>
      <c r="E1" s="3" t="s">
        <v>5</v>
      </c>
      <c r="F1" s="4" t="s">
        <v>6</v>
      </c>
      <c r="G1" s="1" t="s">
        <v>7</v>
      </c>
      <c r="H1" s="1" t="s">
        <v>8</v>
      </c>
      <c r="I1" s="6" t="str">
        <f> CONCAT("ค้างจ่าย   ", text( SUMIF($E$1:E42955,"",$D$1:D42955),"#,##0"))</f>
        <v>ค้างจ่าย   732,675</v>
      </c>
      <c r="J1" s="7" t="s">
        <v>9</v>
      </c>
    </row>
    <row r="2">
      <c r="A2" s="189">
        <v>46266.0</v>
      </c>
      <c r="B2" s="12" t="s">
        <v>10</v>
      </c>
      <c r="C2" s="179" t="s">
        <v>449</v>
      </c>
      <c r="D2" s="16">
        <v>105.0</v>
      </c>
      <c r="E2" s="16">
        <v>105.0</v>
      </c>
      <c r="F2" s="25"/>
      <c r="G2" s="95" t="s">
        <v>14</v>
      </c>
      <c r="H2" s="23" t="s">
        <v>17</v>
      </c>
      <c r="I2" s="25"/>
      <c r="J2" s="27"/>
    </row>
    <row r="3">
      <c r="A3" s="192">
        <v>46266.0</v>
      </c>
      <c r="B3" s="13" t="s">
        <v>25</v>
      </c>
      <c r="C3" s="163" t="s">
        <v>315</v>
      </c>
      <c r="D3" s="18">
        <v>140.0</v>
      </c>
      <c r="E3" s="18">
        <v>140.0</v>
      </c>
      <c r="F3" s="21"/>
      <c r="G3" s="13" t="s">
        <v>14</v>
      </c>
      <c r="H3" s="76" t="s">
        <v>17</v>
      </c>
      <c r="I3" s="21"/>
      <c r="J3" s="38"/>
    </row>
    <row r="4">
      <c r="A4" s="192">
        <v>46266.0</v>
      </c>
      <c r="B4" s="13" t="s">
        <v>50</v>
      </c>
      <c r="C4" s="13" t="s">
        <v>475</v>
      </c>
      <c r="D4" s="18">
        <v>640.0</v>
      </c>
      <c r="E4" s="18">
        <v>640.0</v>
      </c>
      <c r="F4" s="21"/>
      <c r="G4" s="13" t="s">
        <v>14</v>
      </c>
      <c r="H4" s="76" t="s">
        <v>17</v>
      </c>
      <c r="I4" s="21"/>
      <c r="J4" s="38"/>
    </row>
    <row r="5">
      <c r="A5" s="192">
        <v>46266.0</v>
      </c>
      <c r="B5" s="13" t="s">
        <v>477</v>
      </c>
      <c r="C5" s="13" t="s">
        <v>478</v>
      </c>
      <c r="D5" s="18">
        <v>8121.0</v>
      </c>
      <c r="E5" s="18">
        <v>8121.0</v>
      </c>
      <c r="F5" s="21"/>
      <c r="G5" s="13" t="s">
        <v>14</v>
      </c>
      <c r="H5" s="76" t="s">
        <v>17</v>
      </c>
      <c r="I5" s="21"/>
      <c r="J5" s="38"/>
    </row>
    <row r="6">
      <c r="A6" s="192">
        <v>46266.0</v>
      </c>
      <c r="B6" s="13" t="s">
        <v>38</v>
      </c>
      <c r="C6" s="13" t="s">
        <v>480</v>
      </c>
      <c r="D6" s="18">
        <v>1000.0</v>
      </c>
      <c r="E6" s="18">
        <v>1000.0</v>
      </c>
      <c r="F6" s="21"/>
      <c r="G6" s="13" t="s">
        <v>14</v>
      </c>
      <c r="H6" s="76" t="s">
        <v>17</v>
      </c>
      <c r="I6" s="21"/>
      <c r="J6" s="38"/>
    </row>
    <row r="7">
      <c r="A7" s="192">
        <v>46266.0</v>
      </c>
      <c r="B7" s="13" t="s">
        <v>38</v>
      </c>
      <c r="C7" s="13" t="s">
        <v>482</v>
      </c>
      <c r="D7" s="18">
        <v>1000.0</v>
      </c>
      <c r="E7" s="18">
        <v>1000.0</v>
      </c>
      <c r="F7" s="21"/>
      <c r="G7" s="13" t="s">
        <v>14</v>
      </c>
      <c r="H7" s="76" t="s">
        <v>17</v>
      </c>
      <c r="I7" s="21"/>
      <c r="J7" s="38"/>
    </row>
    <row r="8">
      <c r="A8" s="192">
        <v>46266.0</v>
      </c>
      <c r="B8" s="13" t="s">
        <v>486</v>
      </c>
      <c r="C8" s="13" t="s">
        <v>487</v>
      </c>
      <c r="D8" s="18">
        <v>1650.0</v>
      </c>
      <c r="E8" s="18">
        <v>1650.0</v>
      </c>
      <c r="F8" s="44">
        <v>46267.0</v>
      </c>
      <c r="G8" s="13" t="s">
        <v>55</v>
      </c>
      <c r="H8" s="13" t="s">
        <v>59</v>
      </c>
      <c r="I8" s="21"/>
      <c r="J8" s="38"/>
    </row>
    <row r="9">
      <c r="A9" s="192">
        <v>46266.0</v>
      </c>
      <c r="B9" s="13" t="s">
        <v>489</v>
      </c>
      <c r="C9" s="13" t="s">
        <v>490</v>
      </c>
      <c r="D9" s="15">
        <v>4038.75</v>
      </c>
      <c r="E9" s="18">
        <v>4038.75</v>
      </c>
      <c r="F9" s="44">
        <v>46266.0</v>
      </c>
      <c r="G9" s="13" t="s">
        <v>491</v>
      </c>
      <c r="H9" s="13" t="s">
        <v>42</v>
      </c>
      <c r="I9" s="21"/>
      <c r="J9" s="38"/>
    </row>
    <row r="10">
      <c r="A10" s="192">
        <v>46266.0</v>
      </c>
      <c r="B10" s="13" t="s">
        <v>489</v>
      </c>
      <c r="C10" s="13"/>
      <c r="D10" s="15">
        <v>1043.74</v>
      </c>
      <c r="E10" s="18">
        <v>1043.74</v>
      </c>
      <c r="F10" s="44">
        <v>46266.0</v>
      </c>
      <c r="G10" s="13" t="s">
        <v>491</v>
      </c>
      <c r="H10" s="13" t="s">
        <v>42</v>
      </c>
      <c r="I10" s="21"/>
      <c r="J10" s="38"/>
    </row>
    <row r="11">
      <c r="A11" s="192">
        <v>46266.0</v>
      </c>
      <c r="B11" s="13" t="s">
        <v>217</v>
      </c>
      <c r="C11" s="13" t="s">
        <v>493</v>
      </c>
      <c r="D11" s="15">
        <v>21969.52</v>
      </c>
      <c r="E11" s="18">
        <v>21969.52</v>
      </c>
      <c r="F11" s="44">
        <v>46267.0</v>
      </c>
      <c r="G11" s="13" t="s">
        <v>491</v>
      </c>
      <c r="H11" s="13" t="s">
        <v>42</v>
      </c>
      <c r="I11" s="21"/>
      <c r="J11" s="38"/>
    </row>
    <row r="12">
      <c r="A12" s="210">
        <v>46266.0</v>
      </c>
      <c r="B12" s="88" t="s">
        <v>217</v>
      </c>
      <c r="C12" s="88" t="s">
        <v>113</v>
      </c>
      <c r="D12" s="91">
        <v>550.0</v>
      </c>
      <c r="E12" s="91">
        <v>550.0</v>
      </c>
      <c r="F12" s="127">
        <v>46267.0</v>
      </c>
      <c r="G12" s="88" t="s">
        <v>55</v>
      </c>
      <c r="H12" s="88" t="s">
        <v>42</v>
      </c>
      <c r="I12" s="57"/>
      <c r="J12" s="64"/>
    </row>
    <row r="13">
      <c r="A13" s="214">
        <v>46267.0</v>
      </c>
      <c r="B13" s="215" t="s">
        <v>10</v>
      </c>
      <c r="C13" s="216" t="s">
        <v>449</v>
      </c>
      <c r="D13" s="104">
        <v>105.0</v>
      </c>
      <c r="E13" s="104">
        <v>105.0</v>
      </c>
      <c r="F13" s="102">
        <v>46267.0</v>
      </c>
      <c r="G13" s="41" t="s">
        <v>14</v>
      </c>
      <c r="H13" s="106" t="s">
        <v>17</v>
      </c>
      <c r="I13" s="107"/>
      <c r="J13" s="46"/>
    </row>
    <row r="14">
      <c r="A14" s="192">
        <v>46267.0</v>
      </c>
      <c r="B14" s="13" t="s">
        <v>25</v>
      </c>
      <c r="C14" s="163" t="s">
        <v>315</v>
      </c>
      <c r="D14" s="18">
        <v>140.0</v>
      </c>
      <c r="E14" s="18">
        <v>140.0</v>
      </c>
      <c r="F14" s="44">
        <v>46267.0</v>
      </c>
      <c r="G14" s="13" t="s">
        <v>14</v>
      </c>
      <c r="H14" s="76" t="s">
        <v>17</v>
      </c>
      <c r="I14" s="21"/>
      <c r="J14" s="38"/>
    </row>
    <row r="15">
      <c r="A15" s="192">
        <v>46267.0</v>
      </c>
      <c r="B15" s="13" t="s">
        <v>248</v>
      </c>
      <c r="C15" s="13" t="s">
        <v>520</v>
      </c>
      <c r="D15" s="18">
        <v>250.0</v>
      </c>
      <c r="E15" s="18">
        <v>250.0</v>
      </c>
      <c r="F15" s="44">
        <v>46267.0</v>
      </c>
      <c r="G15" s="13" t="s">
        <v>14</v>
      </c>
      <c r="H15" s="76" t="s">
        <v>17</v>
      </c>
      <c r="I15" s="21"/>
      <c r="J15" s="38"/>
    </row>
    <row r="16">
      <c r="A16" s="192">
        <v>46267.0</v>
      </c>
      <c r="B16" s="13" t="s">
        <v>50</v>
      </c>
      <c r="C16" s="13" t="s">
        <v>522</v>
      </c>
      <c r="D16" s="18">
        <v>330.0</v>
      </c>
      <c r="E16" s="18">
        <v>330.0</v>
      </c>
      <c r="F16" s="44">
        <v>46267.0</v>
      </c>
      <c r="G16" s="13" t="s">
        <v>14</v>
      </c>
      <c r="H16" s="76" t="s">
        <v>17</v>
      </c>
      <c r="I16" s="21"/>
      <c r="J16" s="38"/>
    </row>
    <row r="17">
      <c r="A17" s="192">
        <v>46267.0</v>
      </c>
      <c r="B17" s="13" t="s">
        <v>334</v>
      </c>
      <c r="C17" s="13" t="s">
        <v>526</v>
      </c>
      <c r="D17" s="18">
        <v>120.0</v>
      </c>
      <c r="E17" s="18">
        <v>120.0</v>
      </c>
      <c r="F17" s="44">
        <v>46267.0</v>
      </c>
      <c r="G17" s="13" t="s">
        <v>14</v>
      </c>
      <c r="H17" s="76" t="s">
        <v>17</v>
      </c>
      <c r="I17" s="21"/>
      <c r="J17" s="38"/>
    </row>
    <row r="18">
      <c r="A18" s="192">
        <v>46267.0</v>
      </c>
      <c r="B18" s="13" t="s">
        <v>530</v>
      </c>
      <c r="C18" s="13" t="s">
        <v>532</v>
      </c>
      <c r="D18" s="18">
        <v>1541.0</v>
      </c>
      <c r="E18" s="18">
        <v>1541.0</v>
      </c>
      <c r="F18" s="44">
        <v>46267.0</v>
      </c>
      <c r="G18" s="13" t="s">
        <v>14</v>
      </c>
      <c r="H18" s="76" t="s">
        <v>17</v>
      </c>
      <c r="I18" s="21"/>
      <c r="J18" s="38"/>
    </row>
    <row r="19">
      <c r="A19" s="192">
        <v>46267.0</v>
      </c>
      <c r="B19" s="13" t="s">
        <v>537</v>
      </c>
      <c r="C19" s="13" t="s">
        <v>538</v>
      </c>
      <c r="D19" s="18">
        <v>7070.0</v>
      </c>
      <c r="E19" s="18">
        <v>7070.0</v>
      </c>
      <c r="F19" s="44">
        <v>46267.0</v>
      </c>
      <c r="G19" s="13" t="s">
        <v>14</v>
      </c>
      <c r="H19" s="76" t="s">
        <v>17</v>
      </c>
      <c r="I19" s="21"/>
      <c r="J19" s="38"/>
    </row>
    <row r="20">
      <c r="A20" s="192">
        <v>46267.0</v>
      </c>
      <c r="B20" s="13" t="s">
        <v>542</v>
      </c>
      <c r="C20" s="13" t="s">
        <v>544</v>
      </c>
      <c r="D20" s="18">
        <v>2884.0</v>
      </c>
      <c r="E20" s="18">
        <v>2884.0</v>
      </c>
      <c r="F20" s="44">
        <v>46267.0</v>
      </c>
      <c r="G20" s="13" t="s">
        <v>14</v>
      </c>
      <c r="H20" s="76" t="s">
        <v>17</v>
      </c>
      <c r="I20" s="21"/>
      <c r="J20" s="38"/>
    </row>
    <row r="21">
      <c r="A21" s="192">
        <v>46267.0</v>
      </c>
      <c r="B21" s="13" t="s">
        <v>38</v>
      </c>
      <c r="C21" s="13" t="s">
        <v>550</v>
      </c>
      <c r="D21" s="18">
        <v>1000.0</v>
      </c>
      <c r="E21" s="18">
        <v>1000.0</v>
      </c>
      <c r="F21" s="44">
        <v>46267.0</v>
      </c>
      <c r="G21" s="13" t="s">
        <v>14</v>
      </c>
      <c r="H21" s="76" t="s">
        <v>17</v>
      </c>
      <c r="I21" s="21"/>
      <c r="J21" s="38"/>
    </row>
    <row r="22">
      <c r="A22" s="192">
        <v>46267.0</v>
      </c>
      <c r="B22" s="13" t="s">
        <v>38</v>
      </c>
      <c r="C22" s="13" t="s">
        <v>553</v>
      </c>
      <c r="D22" s="18">
        <v>1000.0</v>
      </c>
      <c r="E22" s="18">
        <v>1000.0</v>
      </c>
      <c r="F22" s="44">
        <v>46267.0</v>
      </c>
      <c r="G22" s="13" t="s">
        <v>14</v>
      </c>
      <c r="H22" s="76" t="s">
        <v>17</v>
      </c>
      <c r="I22" s="21"/>
      <c r="J22" s="38"/>
    </row>
    <row r="23">
      <c r="A23" s="192">
        <v>46267.0</v>
      </c>
      <c r="B23" s="13" t="s">
        <v>106</v>
      </c>
      <c r="C23" s="13" t="s">
        <v>268</v>
      </c>
      <c r="D23" s="18">
        <v>7963.6</v>
      </c>
      <c r="E23" s="18">
        <v>7964.0</v>
      </c>
      <c r="F23" s="44">
        <v>46272.0</v>
      </c>
      <c r="G23" s="13" t="s">
        <v>55</v>
      </c>
      <c r="H23" s="13" t="s">
        <v>56</v>
      </c>
      <c r="I23" s="21"/>
      <c r="J23" s="38"/>
    </row>
    <row r="24">
      <c r="A24" s="192">
        <v>46267.0</v>
      </c>
      <c r="B24" s="13" t="s">
        <v>160</v>
      </c>
      <c r="C24" s="13" t="s">
        <v>560</v>
      </c>
      <c r="D24" s="18">
        <v>26700.0</v>
      </c>
      <c r="E24" s="18">
        <v>26700.0</v>
      </c>
      <c r="F24" s="44">
        <v>46272.0</v>
      </c>
      <c r="G24" s="13" t="s">
        <v>55</v>
      </c>
      <c r="H24" s="13" t="s">
        <v>56</v>
      </c>
      <c r="I24" s="21"/>
      <c r="J24" s="38"/>
    </row>
    <row r="25">
      <c r="A25" s="192">
        <v>46267.0</v>
      </c>
      <c r="B25" s="13" t="s">
        <v>288</v>
      </c>
      <c r="C25" s="13" t="s">
        <v>563</v>
      </c>
      <c r="D25" s="18">
        <v>8500.0</v>
      </c>
      <c r="E25" s="18">
        <v>8500.0</v>
      </c>
      <c r="F25" s="44">
        <v>46272.0</v>
      </c>
      <c r="G25" s="13" t="s">
        <v>211</v>
      </c>
      <c r="H25" s="13" t="s">
        <v>56</v>
      </c>
      <c r="I25" s="21"/>
      <c r="J25" s="38"/>
    </row>
    <row r="26">
      <c r="A26" s="192">
        <v>46267.0</v>
      </c>
      <c r="B26" s="13" t="s">
        <v>566</v>
      </c>
      <c r="C26" s="13" t="s">
        <v>568</v>
      </c>
      <c r="D26" s="18">
        <v>1560.0</v>
      </c>
      <c r="E26" s="18">
        <v>1560.0</v>
      </c>
      <c r="F26" s="44">
        <v>46272.0</v>
      </c>
      <c r="G26" s="13" t="s">
        <v>55</v>
      </c>
      <c r="H26" s="13" t="s">
        <v>56</v>
      </c>
      <c r="I26" s="21"/>
      <c r="J26" s="38"/>
    </row>
    <row r="27">
      <c r="A27" s="192">
        <v>46267.0</v>
      </c>
      <c r="B27" s="13" t="s">
        <v>364</v>
      </c>
      <c r="C27" s="13" t="s">
        <v>77</v>
      </c>
      <c r="D27" s="18">
        <v>4700.0</v>
      </c>
      <c r="E27" s="18">
        <v>4700.0</v>
      </c>
      <c r="F27" s="44">
        <v>46272.0</v>
      </c>
      <c r="G27" s="13" t="s">
        <v>55</v>
      </c>
      <c r="H27" s="13" t="s">
        <v>42</v>
      </c>
      <c r="I27" s="21"/>
      <c r="J27" s="38"/>
    </row>
    <row r="28">
      <c r="A28" s="210">
        <v>46267.0</v>
      </c>
      <c r="B28" s="13" t="s">
        <v>52</v>
      </c>
      <c r="C28" s="88" t="s">
        <v>571</v>
      </c>
      <c r="D28" s="91">
        <v>54460.0</v>
      </c>
      <c r="E28" s="91">
        <v>54460.0</v>
      </c>
      <c r="F28" s="127">
        <v>46272.0</v>
      </c>
      <c r="G28" s="88" t="s">
        <v>55</v>
      </c>
      <c r="H28" s="88" t="s">
        <v>42</v>
      </c>
      <c r="I28" s="57"/>
      <c r="J28" s="64"/>
    </row>
    <row r="29">
      <c r="A29" s="189">
        <v>46268.0</v>
      </c>
      <c r="B29" s="12" t="s">
        <v>10</v>
      </c>
      <c r="C29" s="179" t="s">
        <v>12</v>
      </c>
      <c r="D29" s="16">
        <v>70.0</v>
      </c>
      <c r="E29" s="16">
        <v>70.0</v>
      </c>
      <c r="F29" s="222">
        <v>46268.0</v>
      </c>
      <c r="G29" s="95" t="s">
        <v>14</v>
      </c>
      <c r="H29" s="23" t="s">
        <v>17</v>
      </c>
      <c r="I29" s="25"/>
      <c r="J29" s="27"/>
    </row>
    <row r="30">
      <c r="A30" s="192">
        <v>46268.0</v>
      </c>
      <c r="B30" s="13" t="s">
        <v>25</v>
      </c>
      <c r="C30" s="163" t="s">
        <v>315</v>
      </c>
      <c r="D30" s="18">
        <v>140.0</v>
      </c>
      <c r="E30" s="18">
        <v>140.0</v>
      </c>
      <c r="F30" s="223">
        <v>46268.0</v>
      </c>
      <c r="G30" s="13" t="s">
        <v>14</v>
      </c>
      <c r="H30" s="76" t="s">
        <v>17</v>
      </c>
      <c r="I30" s="21"/>
      <c r="J30" s="38"/>
    </row>
    <row r="31">
      <c r="A31" s="192">
        <v>46268.0</v>
      </c>
      <c r="B31" s="13" t="s">
        <v>50</v>
      </c>
      <c r="C31" s="13" t="s">
        <v>577</v>
      </c>
      <c r="D31" s="18">
        <v>350.0</v>
      </c>
      <c r="E31" s="18">
        <v>350.0</v>
      </c>
      <c r="F31" s="223">
        <v>46268.0</v>
      </c>
      <c r="G31" s="13" t="s">
        <v>14</v>
      </c>
      <c r="H31" s="76" t="s">
        <v>17</v>
      </c>
      <c r="I31" s="21"/>
      <c r="J31" s="38"/>
    </row>
    <row r="32">
      <c r="A32" s="192">
        <v>46268.0</v>
      </c>
      <c r="B32" s="13" t="s">
        <v>248</v>
      </c>
      <c r="C32" s="13" t="s">
        <v>580</v>
      </c>
      <c r="D32" s="18">
        <v>25.0</v>
      </c>
      <c r="E32" s="18">
        <v>25.0</v>
      </c>
      <c r="F32" s="223">
        <v>46268.0</v>
      </c>
      <c r="G32" s="13" t="s">
        <v>14</v>
      </c>
      <c r="H32" s="76" t="s">
        <v>17</v>
      </c>
      <c r="I32" s="21"/>
      <c r="J32" s="38"/>
    </row>
    <row r="33">
      <c r="A33" s="192">
        <v>46268.0</v>
      </c>
      <c r="B33" s="13" t="s">
        <v>50</v>
      </c>
      <c r="C33" s="13" t="s">
        <v>582</v>
      </c>
      <c r="D33" s="18">
        <v>64.0</v>
      </c>
      <c r="E33" s="18">
        <v>64.0</v>
      </c>
      <c r="F33" s="223">
        <v>46268.0</v>
      </c>
      <c r="G33" s="13" t="s">
        <v>14</v>
      </c>
      <c r="H33" s="76" t="s">
        <v>17</v>
      </c>
      <c r="I33" s="21"/>
      <c r="J33" s="38"/>
    </row>
    <row r="34">
      <c r="A34" s="192">
        <v>46268.0</v>
      </c>
      <c r="B34" s="13" t="s">
        <v>38</v>
      </c>
      <c r="C34" s="13" t="s">
        <v>550</v>
      </c>
      <c r="D34" s="18">
        <v>1000.0</v>
      </c>
      <c r="E34" s="18">
        <v>1000.0</v>
      </c>
      <c r="F34" s="223">
        <v>46268.0</v>
      </c>
      <c r="G34" s="13" t="s">
        <v>14</v>
      </c>
      <c r="H34" s="76" t="s">
        <v>17</v>
      </c>
      <c r="I34" s="21"/>
      <c r="J34" s="38"/>
    </row>
    <row r="35">
      <c r="A35" s="192">
        <v>46268.0</v>
      </c>
      <c r="B35" s="13" t="s">
        <v>38</v>
      </c>
      <c r="C35" s="13" t="s">
        <v>553</v>
      </c>
      <c r="D35" s="18">
        <v>1000.0</v>
      </c>
      <c r="E35" s="18">
        <v>1000.0</v>
      </c>
      <c r="F35" s="223">
        <v>46268.0</v>
      </c>
      <c r="G35" s="13" t="s">
        <v>14</v>
      </c>
      <c r="H35" s="76" t="s">
        <v>17</v>
      </c>
      <c r="I35" s="21"/>
      <c r="J35" s="38"/>
    </row>
    <row r="36">
      <c r="A36" s="192">
        <v>46268.0</v>
      </c>
      <c r="B36" s="13" t="s">
        <v>38</v>
      </c>
      <c r="C36" s="13" t="s">
        <v>482</v>
      </c>
      <c r="D36" s="18">
        <v>1000.0</v>
      </c>
      <c r="E36" s="18">
        <v>1000.0</v>
      </c>
      <c r="F36" s="223">
        <v>46268.0</v>
      </c>
      <c r="G36" s="13" t="s">
        <v>14</v>
      </c>
      <c r="H36" s="76" t="s">
        <v>17</v>
      </c>
      <c r="I36" s="21"/>
      <c r="J36" s="38"/>
    </row>
    <row r="37">
      <c r="A37" s="192">
        <v>46268.0</v>
      </c>
      <c r="B37" s="13" t="s">
        <v>588</v>
      </c>
      <c r="C37" s="13" t="s">
        <v>589</v>
      </c>
      <c r="D37" s="18">
        <v>8554.0</v>
      </c>
      <c r="E37" s="18">
        <v>0.0</v>
      </c>
      <c r="F37" s="44">
        <v>46268.0</v>
      </c>
      <c r="G37" s="13" t="s">
        <v>590</v>
      </c>
      <c r="H37" s="187" t="s">
        <v>590</v>
      </c>
      <c r="I37" s="21"/>
      <c r="J37" s="38"/>
    </row>
    <row r="38">
      <c r="A38" s="192">
        <v>46268.0</v>
      </c>
      <c r="B38" s="13" t="s">
        <v>63</v>
      </c>
      <c r="C38" s="13" t="s">
        <v>592</v>
      </c>
      <c r="D38" s="18">
        <v>33148.0</v>
      </c>
      <c r="E38" s="18">
        <v>33148.0</v>
      </c>
      <c r="F38" s="44">
        <v>46272.0</v>
      </c>
      <c r="G38" s="13" t="s">
        <v>55</v>
      </c>
      <c r="H38" s="13" t="s">
        <v>42</v>
      </c>
      <c r="I38" s="21"/>
      <c r="J38" s="38"/>
    </row>
    <row r="39">
      <c r="A39" s="192">
        <v>46268.0</v>
      </c>
      <c r="B39" s="13" t="s">
        <v>594</v>
      </c>
      <c r="C39" s="13" t="s">
        <v>595</v>
      </c>
      <c r="D39" s="18">
        <v>22400.0</v>
      </c>
      <c r="E39" s="18">
        <v>22400.0</v>
      </c>
      <c r="F39" s="44">
        <v>46271.0</v>
      </c>
      <c r="G39" s="13" t="s">
        <v>55</v>
      </c>
      <c r="H39" s="13" t="s">
        <v>42</v>
      </c>
      <c r="I39" s="21"/>
      <c r="J39" s="38"/>
    </row>
    <row r="40">
      <c r="A40" s="192">
        <v>46268.0</v>
      </c>
      <c r="B40" s="13" t="s">
        <v>405</v>
      </c>
      <c r="C40" s="13" t="s">
        <v>406</v>
      </c>
      <c r="D40" s="18">
        <v>3100.0</v>
      </c>
      <c r="E40" s="18">
        <v>3100.0</v>
      </c>
      <c r="F40" s="44">
        <v>46269.0</v>
      </c>
      <c r="G40" s="13" t="s">
        <v>211</v>
      </c>
      <c r="H40" s="13" t="s">
        <v>59</v>
      </c>
      <c r="I40" s="21"/>
      <c r="J40" s="38"/>
    </row>
    <row r="41">
      <c r="A41" s="192">
        <v>46268.0</v>
      </c>
      <c r="B41" s="13" t="s">
        <v>225</v>
      </c>
      <c r="C41" s="13" t="s">
        <v>599</v>
      </c>
      <c r="D41" s="18">
        <v>1680.0</v>
      </c>
      <c r="E41" s="18">
        <v>1680.0</v>
      </c>
      <c r="F41" s="44">
        <v>46269.0</v>
      </c>
      <c r="G41" s="13" t="s">
        <v>55</v>
      </c>
      <c r="H41" s="13" t="s">
        <v>42</v>
      </c>
      <c r="I41" s="13" t="s">
        <v>602</v>
      </c>
      <c r="J41" s="38"/>
    </row>
    <row r="42">
      <c r="A42" s="210">
        <v>46268.0</v>
      </c>
      <c r="B42" s="88" t="s">
        <v>118</v>
      </c>
      <c r="C42" s="88" t="s">
        <v>603</v>
      </c>
      <c r="D42" s="91">
        <v>3150.0</v>
      </c>
      <c r="E42" s="91">
        <v>3150.0</v>
      </c>
      <c r="F42" s="127">
        <v>46266.0</v>
      </c>
      <c r="G42" s="88" t="s">
        <v>211</v>
      </c>
      <c r="H42" s="13" t="s">
        <v>59</v>
      </c>
      <c r="I42" s="57"/>
      <c r="J42" s="64"/>
      <c r="M42" s="16">
        <v>70.0</v>
      </c>
      <c r="N42" s="16">
        <v>70.0</v>
      </c>
    </row>
    <row r="43">
      <c r="A43" s="189">
        <v>46269.0</v>
      </c>
      <c r="B43" s="12" t="s">
        <v>10</v>
      </c>
      <c r="C43" s="179" t="s">
        <v>12</v>
      </c>
      <c r="D43" s="16">
        <v>70.0</v>
      </c>
      <c r="E43" s="18">
        <v>70.0</v>
      </c>
      <c r="F43" s="19">
        <v>46269.0</v>
      </c>
      <c r="G43" s="95" t="s">
        <v>14</v>
      </c>
      <c r="H43" s="23" t="s">
        <v>17</v>
      </c>
      <c r="I43" s="25"/>
      <c r="J43" s="27"/>
      <c r="M43" s="15">
        <v>210.0</v>
      </c>
      <c r="N43" s="15">
        <v>210.0</v>
      </c>
    </row>
    <row r="44">
      <c r="A44" s="192">
        <v>46269.0</v>
      </c>
      <c r="B44" s="13" t="s">
        <v>25</v>
      </c>
      <c r="C44" s="163" t="s">
        <v>564</v>
      </c>
      <c r="D44" s="18">
        <v>210.0</v>
      </c>
      <c r="E44" s="18">
        <v>210.0</v>
      </c>
      <c r="F44" s="44">
        <v>46269.0</v>
      </c>
      <c r="G44" s="13" t="s">
        <v>14</v>
      </c>
      <c r="H44" s="76" t="s">
        <v>17</v>
      </c>
      <c r="I44" s="21"/>
      <c r="J44" s="38"/>
      <c r="M44" s="15">
        <v>230.0</v>
      </c>
      <c r="N44" s="15">
        <v>230.0</v>
      </c>
    </row>
    <row r="45">
      <c r="A45" s="192">
        <v>46269.0</v>
      </c>
      <c r="B45" s="13" t="s">
        <v>248</v>
      </c>
      <c r="C45" s="13" t="s">
        <v>610</v>
      </c>
      <c r="D45" s="18">
        <v>230.0</v>
      </c>
      <c r="E45" s="18">
        <v>230.0</v>
      </c>
      <c r="F45" s="44">
        <v>46269.0</v>
      </c>
      <c r="G45" s="13" t="s">
        <v>14</v>
      </c>
      <c r="H45" s="76" t="s">
        <v>17</v>
      </c>
      <c r="I45" s="21"/>
      <c r="J45" s="38"/>
      <c r="M45" s="15">
        <v>9000.0</v>
      </c>
      <c r="N45" s="15">
        <v>9000.0</v>
      </c>
    </row>
    <row r="46">
      <c r="A46" s="192">
        <v>46269.0</v>
      </c>
      <c r="B46" s="13" t="s">
        <v>101</v>
      </c>
      <c r="C46" s="81" t="s">
        <v>613</v>
      </c>
      <c r="D46" s="18">
        <v>9000.0</v>
      </c>
      <c r="E46" s="18">
        <v>9000.0</v>
      </c>
      <c r="F46" s="44">
        <v>46269.0</v>
      </c>
      <c r="G46" s="13" t="s">
        <v>14</v>
      </c>
      <c r="H46" s="76" t="s">
        <v>17</v>
      </c>
      <c r="I46" s="21"/>
      <c r="J46" s="38"/>
      <c r="M46" s="15">
        <v>1000.0</v>
      </c>
      <c r="N46" s="15">
        <v>1000.0</v>
      </c>
    </row>
    <row r="47">
      <c r="A47" s="192">
        <v>46269.0</v>
      </c>
      <c r="B47" s="13" t="s">
        <v>38</v>
      </c>
      <c r="C47" s="13" t="s">
        <v>550</v>
      </c>
      <c r="D47" s="18">
        <v>1000.0</v>
      </c>
      <c r="E47" s="18">
        <v>1000.0</v>
      </c>
      <c r="F47" s="44">
        <v>46269.0</v>
      </c>
      <c r="G47" s="13" t="s">
        <v>14</v>
      </c>
      <c r="H47" s="76" t="s">
        <v>17</v>
      </c>
      <c r="I47" s="21"/>
      <c r="J47" s="38"/>
      <c r="M47" s="15">
        <v>1000.0</v>
      </c>
      <c r="N47" s="15">
        <v>1000.0</v>
      </c>
    </row>
    <row r="48">
      <c r="A48" s="192">
        <v>46269.0</v>
      </c>
      <c r="B48" s="13" t="s">
        <v>38</v>
      </c>
      <c r="C48" s="13" t="s">
        <v>553</v>
      </c>
      <c r="D48" s="18">
        <v>1000.0</v>
      </c>
      <c r="E48" s="18">
        <v>1000.0</v>
      </c>
      <c r="F48" s="44">
        <v>46269.0</v>
      </c>
      <c r="G48" s="13" t="s">
        <v>14</v>
      </c>
      <c r="H48" s="76" t="s">
        <v>17</v>
      </c>
      <c r="I48" s="21"/>
      <c r="J48" s="38"/>
      <c r="M48" s="15">
        <v>2000.0</v>
      </c>
      <c r="N48" s="15">
        <v>2000.0</v>
      </c>
    </row>
    <row r="49">
      <c r="A49" s="192">
        <v>46269.0</v>
      </c>
      <c r="B49" s="13" t="s">
        <v>38</v>
      </c>
      <c r="C49" s="13" t="s">
        <v>482</v>
      </c>
      <c r="D49" s="18">
        <v>2000.0</v>
      </c>
      <c r="E49" s="18">
        <v>2000.0</v>
      </c>
      <c r="F49" s="44">
        <v>46269.0</v>
      </c>
      <c r="G49" s="13" t="s">
        <v>14</v>
      </c>
      <c r="H49" s="76" t="s">
        <v>17</v>
      </c>
      <c r="I49" s="21"/>
      <c r="J49" s="38"/>
      <c r="M49" s="13"/>
      <c r="N49" s="15">
        <v>16668.95</v>
      </c>
    </row>
    <row r="50">
      <c r="A50" s="192">
        <v>46269.0</v>
      </c>
      <c r="B50" s="13" t="s">
        <v>620</v>
      </c>
      <c r="C50" s="13" t="s">
        <v>621</v>
      </c>
      <c r="D50" s="18">
        <v>102000.0</v>
      </c>
      <c r="E50" s="18">
        <v>86400.0</v>
      </c>
      <c r="F50" s="44">
        <v>46269.0</v>
      </c>
      <c r="G50" s="13" t="s">
        <v>14</v>
      </c>
      <c r="H50" s="76" t="s">
        <v>17</v>
      </c>
      <c r="I50" s="21"/>
      <c r="J50" s="38"/>
    </row>
    <row r="51">
      <c r="A51" s="192">
        <v>46269.0</v>
      </c>
      <c r="B51" s="21"/>
      <c r="C51" s="21"/>
      <c r="D51" s="49"/>
      <c r="E51" s="18">
        <v>15600.0</v>
      </c>
      <c r="F51" s="44">
        <v>46269.0</v>
      </c>
      <c r="G51" s="13" t="s">
        <v>55</v>
      </c>
      <c r="H51" s="13" t="s">
        <v>42</v>
      </c>
      <c r="I51" s="21"/>
      <c r="J51" s="38"/>
    </row>
    <row r="52">
      <c r="A52" s="192">
        <v>46269.0</v>
      </c>
      <c r="B52" s="13" t="s">
        <v>225</v>
      </c>
      <c r="C52" s="13" t="s">
        <v>627</v>
      </c>
      <c r="D52" s="18">
        <v>16668.95</v>
      </c>
      <c r="E52" s="18">
        <v>16668.95</v>
      </c>
      <c r="F52" s="44">
        <v>46269.0</v>
      </c>
      <c r="G52" s="13" t="s">
        <v>55</v>
      </c>
      <c r="H52" s="13" t="s">
        <v>42</v>
      </c>
      <c r="I52" s="13" t="s">
        <v>602</v>
      </c>
      <c r="J52" s="38"/>
      <c r="M52" s="234"/>
      <c r="N52" s="237"/>
    </row>
    <row r="53">
      <c r="A53" s="192">
        <v>46269.0</v>
      </c>
      <c r="B53" s="13" t="s">
        <v>43</v>
      </c>
      <c r="C53" s="13" t="s">
        <v>631</v>
      </c>
      <c r="D53" s="18">
        <v>63750.0</v>
      </c>
      <c r="E53" s="18">
        <v>63750.0</v>
      </c>
      <c r="F53" s="44">
        <v>46272.0</v>
      </c>
      <c r="G53" s="13" t="s">
        <v>55</v>
      </c>
      <c r="H53" s="13" t="s">
        <v>42</v>
      </c>
      <c r="I53" s="21"/>
      <c r="J53" s="38"/>
      <c r="M53" s="13">
        <v>86400.0</v>
      </c>
      <c r="N53" s="15">
        <v>102000.0</v>
      </c>
    </row>
    <row r="54">
      <c r="A54" s="192">
        <v>46269.0</v>
      </c>
      <c r="B54" s="13" t="s">
        <v>364</v>
      </c>
      <c r="C54" s="13" t="s">
        <v>77</v>
      </c>
      <c r="D54" s="18">
        <v>4700.0</v>
      </c>
      <c r="E54" s="18">
        <v>4700.0</v>
      </c>
      <c r="F54" s="44">
        <v>46272.0</v>
      </c>
      <c r="G54" s="13" t="s">
        <v>55</v>
      </c>
      <c r="H54" s="13" t="s">
        <v>42</v>
      </c>
      <c r="I54" s="21"/>
      <c r="J54" s="38"/>
    </row>
    <row r="55">
      <c r="A55" s="210">
        <v>46269.0</v>
      </c>
      <c r="B55" s="88" t="s">
        <v>217</v>
      </c>
      <c r="C55" s="88" t="s">
        <v>637</v>
      </c>
      <c r="D55" s="91">
        <v>3970.0</v>
      </c>
      <c r="E55" s="91">
        <v>3970.0</v>
      </c>
      <c r="F55" s="127">
        <v>46270.0</v>
      </c>
      <c r="G55" s="88" t="s">
        <v>211</v>
      </c>
      <c r="H55" s="88" t="s">
        <v>59</v>
      </c>
      <c r="I55" s="57"/>
      <c r="J55" s="64"/>
    </row>
    <row r="56">
      <c r="A56" s="214">
        <v>46270.0</v>
      </c>
      <c r="B56" s="215" t="s">
        <v>10</v>
      </c>
      <c r="C56" s="216" t="s">
        <v>12</v>
      </c>
      <c r="D56" s="104">
        <v>70.0</v>
      </c>
      <c r="E56" s="104">
        <v>70.0</v>
      </c>
      <c r="F56" s="175">
        <v>46270.0</v>
      </c>
      <c r="G56" s="41" t="s">
        <v>14</v>
      </c>
      <c r="H56" s="106" t="s">
        <v>17</v>
      </c>
      <c r="I56" s="107"/>
      <c r="J56" s="46"/>
    </row>
    <row r="57">
      <c r="A57" s="192">
        <v>46270.0</v>
      </c>
      <c r="B57" s="13" t="s">
        <v>25</v>
      </c>
      <c r="C57" s="163" t="s">
        <v>449</v>
      </c>
      <c r="D57" s="18">
        <v>105.0</v>
      </c>
      <c r="E57" s="18">
        <v>105.0</v>
      </c>
      <c r="F57" s="35">
        <v>46270.0</v>
      </c>
      <c r="G57" s="13" t="s">
        <v>14</v>
      </c>
      <c r="H57" s="76" t="s">
        <v>17</v>
      </c>
      <c r="I57" s="21"/>
      <c r="J57" s="38"/>
    </row>
    <row r="58">
      <c r="A58" s="192">
        <v>46270.0</v>
      </c>
      <c r="B58" s="13" t="s">
        <v>248</v>
      </c>
      <c r="C58" s="13" t="s">
        <v>644</v>
      </c>
      <c r="D58" s="18">
        <v>230.0</v>
      </c>
      <c r="E58" s="18">
        <v>230.0</v>
      </c>
      <c r="F58" s="35">
        <v>46270.0</v>
      </c>
      <c r="G58" s="13" t="s">
        <v>14</v>
      </c>
      <c r="H58" s="76" t="s">
        <v>17</v>
      </c>
      <c r="I58" s="21"/>
      <c r="J58" s="38"/>
    </row>
    <row r="59">
      <c r="A59" s="192">
        <v>46270.0</v>
      </c>
      <c r="B59" s="13" t="s">
        <v>648</v>
      </c>
      <c r="C59" s="13" t="s">
        <v>650</v>
      </c>
      <c r="D59" s="18">
        <v>300.0</v>
      </c>
      <c r="E59" s="18">
        <v>300.0</v>
      </c>
      <c r="F59" s="35">
        <v>46270.0</v>
      </c>
      <c r="G59" s="13" t="s">
        <v>14</v>
      </c>
      <c r="H59" s="76" t="s">
        <v>17</v>
      </c>
      <c r="I59" s="21"/>
      <c r="J59" s="38"/>
    </row>
    <row r="60">
      <c r="A60" s="192">
        <v>46270.0</v>
      </c>
      <c r="B60" s="13" t="s">
        <v>562</v>
      </c>
      <c r="C60" s="13" t="s">
        <v>653</v>
      </c>
      <c r="D60" s="18">
        <v>810.0</v>
      </c>
      <c r="E60" s="18">
        <v>810.0</v>
      </c>
      <c r="F60" s="35">
        <v>46270.0</v>
      </c>
      <c r="G60" s="13" t="s">
        <v>14</v>
      </c>
      <c r="H60" s="76" t="s">
        <v>17</v>
      </c>
      <c r="I60" s="21"/>
      <c r="J60" s="38"/>
    </row>
    <row r="61">
      <c r="A61" s="192">
        <v>46270.0</v>
      </c>
      <c r="B61" s="13" t="s">
        <v>654</v>
      </c>
      <c r="C61" s="13" t="s">
        <v>655</v>
      </c>
      <c r="D61" s="18">
        <v>124.0</v>
      </c>
      <c r="E61" s="18">
        <v>124.0</v>
      </c>
      <c r="F61" s="35">
        <v>46270.0</v>
      </c>
      <c r="G61" s="13" t="s">
        <v>14</v>
      </c>
      <c r="H61" s="76" t="s">
        <v>17</v>
      </c>
      <c r="I61" s="21"/>
      <c r="J61" s="38"/>
    </row>
    <row r="62">
      <c r="A62" s="192">
        <v>46270.0</v>
      </c>
      <c r="B62" s="13" t="s">
        <v>657</v>
      </c>
      <c r="C62" s="13" t="s">
        <v>658</v>
      </c>
      <c r="D62" s="18">
        <v>100.0</v>
      </c>
      <c r="E62" s="18">
        <v>100.0</v>
      </c>
      <c r="F62" s="35">
        <v>46270.0</v>
      </c>
      <c r="G62" s="13" t="s">
        <v>14</v>
      </c>
      <c r="H62" s="76" t="s">
        <v>17</v>
      </c>
      <c r="I62" s="21"/>
      <c r="J62" s="38"/>
    </row>
    <row r="63">
      <c r="A63" s="192">
        <v>46270.0</v>
      </c>
      <c r="B63" s="13" t="s">
        <v>659</v>
      </c>
      <c r="C63" s="13" t="s">
        <v>660</v>
      </c>
      <c r="D63" s="18">
        <v>229.0</v>
      </c>
      <c r="E63" s="18">
        <v>229.0</v>
      </c>
      <c r="F63" s="35">
        <v>46270.0</v>
      </c>
      <c r="G63" s="13" t="s">
        <v>14</v>
      </c>
      <c r="H63" s="76" t="s">
        <v>17</v>
      </c>
      <c r="I63" s="21"/>
      <c r="J63" s="38"/>
    </row>
    <row r="64">
      <c r="A64" s="192">
        <v>46270.0</v>
      </c>
      <c r="B64" s="13" t="s">
        <v>38</v>
      </c>
      <c r="C64" s="13" t="s">
        <v>550</v>
      </c>
      <c r="D64" s="18">
        <v>1000.0</v>
      </c>
      <c r="E64" s="18">
        <v>1000.0</v>
      </c>
      <c r="F64" s="35">
        <v>46270.0</v>
      </c>
      <c r="G64" s="13" t="s">
        <v>14</v>
      </c>
      <c r="H64" s="76" t="s">
        <v>17</v>
      </c>
      <c r="I64" s="21"/>
      <c r="J64" s="38"/>
    </row>
    <row r="65">
      <c r="A65" s="192">
        <v>46270.0</v>
      </c>
      <c r="B65" s="13" t="s">
        <v>38</v>
      </c>
      <c r="C65" s="13" t="s">
        <v>553</v>
      </c>
      <c r="D65" s="18">
        <v>1000.0</v>
      </c>
      <c r="E65" s="18">
        <v>1000.0</v>
      </c>
      <c r="F65" s="35">
        <v>46270.0</v>
      </c>
      <c r="G65" s="13" t="s">
        <v>14</v>
      </c>
      <c r="H65" s="76" t="s">
        <v>17</v>
      </c>
      <c r="I65" s="21"/>
      <c r="J65" s="38"/>
    </row>
    <row r="66">
      <c r="A66" s="192">
        <v>46270.0</v>
      </c>
      <c r="B66" s="13" t="s">
        <v>38</v>
      </c>
      <c r="C66" s="13" t="s">
        <v>482</v>
      </c>
      <c r="D66" s="18">
        <v>1000.0</v>
      </c>
      <c r="E66" s="18">
        <v>1000.0</v>
      </c>
      <c r="F66" s="35">
        <v>46270.0</v>
      </c>
      <c r="G66" s="13" t="s">
        <v>14</v>
      </c>
      <c r="H66" s="76" t="s">
        <v>17</v>
      </c>
      <c r="I66" s="21"/>
      <c r="J66" s="38"/>
    </row>
    <row r="67">
      <c r="A67" s="192">
        <v>46270.0</v>
      </c>
      <c r="B67" s="13" t="s">
        <v>668</v>
      </c>
      <c r="C67" s="13" t="s">
        <v>670</v>
      </c>
      <c r="D67" s="18">
        <v>2290.0</v>
      </c>
      <c r="E67" s="18">
        <v>2290.0</v>
      </c>
      <c r="F67" s="35">
        <v>46270.0</v>
      </c>
      <c r="G67" s="13" t="s">
        <v>14</v>
      </c>
      <c r="H67" s="76" t="s">
        <v>17</v>
      </c>
      <c r="I67" s="21"/>
      <c r="J67" s="38"/>
    </row>
    <row r="68">
      <c r="A68" s="192">
        <v>46270.0</v>
      </c>
      <c r="B68" s="13" t="s">
        <v>101</v>
      </c>
      <c r="C68" s="81" t="s">
        <v>304</v>
      </c>
      <c r="D68" s="18">
        <v>2000.0</v>
      </c>
      <c r="E68" s="18">
        <v>2000.0</v>
      </c>
      <c r="F68" s="35">
        <v>46270.0</v>
      </c>
      <c r="G68" s="13" t="s">
        <v>14</v>
      </c>
      <c r="H68" s="76" t="s">
        <v>17</v>
      </c>
      <c r="I68" s="21"/>
      <c r="J68" s="38"/>
    </row>
    <row r="69">
      <c r="A69" s="192">
        <v>46270.0</v>
      </c>
      <c r="B69" s="13" t="s">
        <v>101</v>
      </c>
      <c r="C69" s="81" t="s">
        <v>103</v>
      </c>
      <c r="D69" s="18">
        <v>1000.0</v>
      </c>
      <c r="E69" s="18">
        <v>1000.0</v>
      </c>
      <c r="F69" s="35">
        <v>46270.0</v>
      </c>
      <c r="G69" s="13" t="s">
        <v>14</v>
      </c>
      <c r="H69" s="76" t="s">
        <v>17</v>
      </c>
      <c r="I69" s="21"/>
      <c r="J69" s="38"/>
    </row>
    <row r="70">
      <c r="A70" s="192">
        <v>46270.0</v>
      </c>
      <c r="B70" s="13" t="s">
        <v>225</v>
      </c>
      <c r="C70" s="13" t="s">
        <v>672</v>
      </c>
      <c r="D70" s="18">
        <v>3390.0</v>
      </c>
      <c r="E70" s="18">
        <v>3390.0</v>
      </c>
      <c r="F70" s="44">
        <v>46270.0</v>
      </c>
      <c r="G70" s="13" t="s">
        <v>211</v>
      </c>
      <c r="H70" s="13" t="s">
        <v>59</v>
      </c>
      <c r="I70" s="21"/>
      <c r="J70" s="38"/>
    </row>
    <row r="71">
      <c r="A71" s="192">
        <v>46270.0</v>
      </c>
      <c r="B71" s="13" t="s">
        <v>674</v>
      </c>
      <c r="C71" s="13" t="s">
        <v>675</v>
      </c>
      <c r="D71" s="18">
        <v>8550.0</v>
      </c>
      <c r="E71" s="18">
        <v>8550.0</v>
      </c>
      <c r="F71" s="35">
        <v>46270.0</v>
      </c>
      <c r="G71" s="13" t="s">
        <v>55</v>
      </c>
      <c r="H71" s="13" t="s">
        <v>42</v>
      </c>
      <c r="I71" s="21"/>
      <c r="J71" s="38"/>
    </row>
    <row r="72">
      <c r="A72" s="192">
        <v>46270.0</v>
      </c>
      <c r="B72" s="13" t="s">
        <v>217</v>
      </c>
      <c r="C72" s="13" t="s">
        <v>113</v>
      </c>
      <c r="D72" s="18">
        <v>550.0</v>
      </c>
      <c r="E72" s="18">
        <v>550.0</v>
      </c>
      <c r="F72" s="35">
        <v>46270.0</v>
      </c>
      <c r="G72" s="13" t="s">
        <v>211</v>
      </c>
      <c r="H72" s="45" t="s">
        <v>59</v>
      </c>
      <c r="I72" s="21"/>
      <c r="J72" s="38"/>
    </row>
    <row r="73">
      <c r="A73" s="192">
        <v>46270.0</v>
      </c>
      <c r="B73" s="13" t="s">
        <v>52</v>
      </c>
      <c r="C73" s="13" t="s">
        <v>677</v>
      </c>
      <c r="D73" s="18">
        <v>15680.0</v>
      </c>
      <c r="E73" s="18">
        <v>15680.0</v>
      </c>
      <c r="F73" s="44">
        <v>46272.0</v>
      </c>
      <c r="G73" s="13" t="s">
        <v>55</v>
      </c>
      <c r="H73" s="13" t="s">
        <v>42</v>
      </c>
      <c r="I73" s="21"/>
      <c r="J73" s="38"/>
    </row>
    <row r="74">
      <c r="A74" s="192">
        <v>46270.0</v>
      </c>
      <c r="B74" s="13" t="s">
        <v>52</v>
      </c>
      <c r="C74" s="13" t="s">
        <v>680</v>
      </c>
      <c r="D74" s="18">
        <v>2650.0</v>
      </c>
      <c r="E74" s="18">
        <v>2650.0</v>
      </c>
      <c r="F74" s="44">
        <v>46279.0</v>
      </c>
      <c r="G74" s="13" t="s">
        <v>55</v>
      </c>
      <c r="H74" s="13" t="s">
        <v>42</v>
      </c>
      <c r="I74" s="21"/>
      <c r="J74" s="38"/>
    </row>
    <row r="75">
      <c r="A75" s="210">
        <v>46270.0</v>
      </c>
      <c r="B75" s="88" t="s">
        <v>288</v>
      </c>
      <c r="C75" s="88" t="s">
        <v>684</v>
      </c>
      <c r="D75" s="91">
        <v>16000.0</v>
      </c>
      <c r="E75" s="91">
        <v>16000.0</v>
      </c>
      <c r="F75" s="127">
        <v>46272.0</v>
      </c>
      <c r="G75" s="88" t="s">
        <v>55</v>
      </c>
      <c r="H75" s="88" t="s">
        <v>42</v>
      </c>
      <c r="I75" s="57"/>
      <c r="J75" s="64"/>
    </row>
    <row r="76">
      <c r="A76" s="189">
        <v>46271.0</v>
      </c>
      <c r="B76" s="12" t="s">
        <v>10</v>
      </c>
      <c r="C76" s="179" t="s">
        <v>12</v>
      </c>
      <c r="D76" s="16">
        <v>70.0</v>
      </c>
      <c r="E76" s="16">
        <v>70.0</v>
      </c>
      <c r="F76" s="102">
        <v>46271.0</v>
      </c>
      <c r="G76" s="41" t="s">
        <v>14</v>
      </c>
      <c r="H76" s="106" t="s">
        <v>17</v>
      </c>
      <c r="I76" s="25"/>
      <c r="J76" s="27"/>
    </row>
    <row r="77">
      <c r="A77" s="192">
        <v>46271.0</v>
      </c>
      <c r="B77" s="13" t="s">
        <v>25</v>
      </c>
      <c r="C77" s="163" t="s">
        <v>449</v>
      </c>
      <c r="D77" s="18">
        <v>105.0</v>
      </c>
      <c r="E77" s="18">
        <v>105.0</v>
      </c>
      <c r="F77" s="44">
        <v>46271.0</v>
      </c>
      <c r="G77" s="13" t="s">
        <v>14</v>
      </c>
      <c r="H77" s="76" t="s">
        <v>17</v>
      </c>
      <c r="I77" s="21"/>
      <c r="J77" s="38"/>
    </row>
    <row r="78">
      <c r="A78" s="192">
        <v>46271.0</v>
      </c>
      <c r="B78" s="13" t="s">
        <v>692</v>
      </c>
      <c r="C78" s="13" t="s">
        <v>693</v>
      </c>
      <c r="D78" s="18">
        <v>491.0</v>
      </c>
      <c r="E78" s="18">
        <v>491.0</v>
      </c>
      <c r="F78" s="44">
        <v>46271.0</v>
      </c>
      <c r="G78" s="13" t="s">
        <v>14</v>
      </c>
      <c r="H78" s="76" t="s">
        <v>17</v>
      </c>
      <c r="I78" s="21"/>
      <c r="J78" s="38"/>
    </row>
    <row r="79">
      <c r="A79" s="192">
        <v>46271.0</v>
      </c>
      <c r="B79" s="13" t="s">
        <v>50</v>
      </c>
      <c r="C79" s="13" t="s">
        <v>696</v>
      </c>
      <c r="D79" s="18">
        <v>456.0</v>
      </c>
      <c r="E79" s="18">
        <v>456.0</v>
      </c>
      <c r="F79" s="44">
        <v>46271.0</v>
      </c>
      <c r="G79" s="13" t="s">
        <v>14</v>
      </c>
      <c r="H79" s="76" t="s">
        <v>17</v>
      </c>
      <c r="I79" s="21"/>
      <c r="J79" s="38"/>
    </row>
    <row r="80">
      <c r="A80" s="192">
        <v>46271.0</v>
      </c>
      <c r="B80" s="13" t="s">
        <v>38</v>
      </c>
      <c r="C80" s="13" t="s">
        <v>550</v>
      </c>
      <c r="D80" s="18">
        <v>1000.0</v>
      </c>
      <c r="E80" s="18">
        <v>1000.0</v>
      </c>
      <c r="F80" s="44">
        <v>46271.0</v>
      </c>
      <c r="G80" s="13" t="s">
        <v>14</v>
      </c>
      <c r="H80" s="76" t="s">
        <v>17</v>
      </c>
      <c r="I80" s="21"/>
      <c r="J80" s="38"/>
    </row>
    <row r="81">
      <c r="A81" s="192">
        <v>46271.0</v>
      </c>
      <c r="B81" s="13" t="s">
        <v>38</v>
      </c>
      <c r="C81" s="13" t="s">
        <v>553</v>
      </c>
      <c r="D81" s="18">
        <v>1000.0</v>
      </c>
      <c r="E81" s="18">
        <v>1000.0</v>
      </c>
      <c r="F81" s="44">
        <v>46271.0</v>
      </c>
      <c r="G81" s="13" t="s">
        <v>14</v>
      </c>
      <c r="H81" s="76" t="s">
        <v>17</v>
      </c>
      <c r="I81" s="21"/>
      <c r="J81" s="38"/>
    </row>
    <row r="82">
      <c r="A82" s="192">
        <v>46271.0</v>
      </c>
      <c r="B82" s="13" t="s">
        <v>38</v>
      </c>
      <c r="C82" s="13" t="s">
        <v>482</v>
      </c>
      <c r="D82" s="18">
        <v>1000.0</v>
      </c>
      <c r="E82" s="18">
        <v>1000.0</v>
      </c>
      <c r="F82" s="44">
        <v>46271.0</v>
      </c>
      <c r="G82" s="13" t="s">
        <v>14</v>
      </c>
      <c r="H82" s="76" t="s">
        <v>17</v>
      </c>
      <c r="I82" s="21"/>
      <c r="J82" s="38"/>
    </row>
    <row r="83">
      <c r="A83" s="192">
        <v>46271.0</v>
      </c>
      <c r="B83" s="13" t="s">
        <v>290</v>
      </c>
      <c r="C83" s="13" t="s">
        <v>708</v>
      </c>
      <c r="D83" s="18">
        <v>3995.0</v>
      </c>
      <c r="E83" s="18">
        <v>3995.0</v>
      </c>
      <c r="F83" s="44">
        <v>46271.0</v>
      </c>
      <c r="G83" s="13" t="s">
        <v>211</v>
      </c>
      <c r="H83" s="13" t="s">
        <v>59</v>
      </c>
      <c r="I83" s="21"/>
      <c r="J83" s="38"/>
    </row>
    <row r="84">
      <c r="A84" s="192">
        <v>46271.0</v>
      </c>
      <c r="B84" s="13" t="s">
        <v>43</v>
      </c>
      <c r="C84" s="13" t="s">
        <v>712</v>
      </c>
      <c r="D84" s="18">
        <v>26000.0</v>
      </c>
      <c r="E84" s="18">
        <v>26000.0</v>
      </c>
      <c r="F84" s="44">
        <v>46279.0</v>
      </c>
      <c r="G84" s="13" t="s">
        <v>55</v>
      </c>
      <c r="H84" s="13" t="s">
        <v>42</v>
      </c>
      <c r="I84" s="21"/>
      <c r="J84" s="38"/>
    </row>
    <row r="85">
      <c r="A85" s="192"/>
      <c r="B85" s="13" t="s">
        <v>608</v>
      </c>
      <c r="C85" s="13" t="s">
        <v>715</v>
      </c>
      <c r="D85" s="18">
        <v>3280.0</v>
      </c>
      <c r="E85" s="18">
        <v>3280.0</v>
      </c>
      <c r="F85" s="44">
        <v>46276.0</v>
      </c>
      <c r="G85" s="13" t="s">
        <v>211</v>
      </c>
      <c r="H85" s="13" t="s">
        <v>59</v>
      </c>
      <c r="I85" s="21"/>
      <c r="J85" s="38"/>
    </row>
    <row r="86">
      <c r="A86" s="192">
        <v>46271.0</v>
      </c>
      <c r="B86" s="13" t="s">
        <v>401</v>
      </c>
      <c r="C86" s="13" t="s">
        <v>717</v>
      </c>
      <c r="D86" s="18">
        <v>8100.0</v>
      </c>
      <c r="E86" s="18">
        <v>8100.0</v>
      </c>
      <c r="F86" s="44">
        <v>46272.0</v>
      </c>
      <c r="G86" s="13" t="s">
        <v>211</v>
      </c>
      <c r="H86" s="13" t="s">
        <v>718</v>
      </c>
      <c r="I86" s="21"/>
      <c r="J86" s="38"/>
    </row>
    <row r="87">
      <c r="A87" s="192">
        <v>46271.0</v>
      </c>
      <c r="B87" s="13" t="s">
        <v>405</v>
      </c>
      <c r="C87" s="13" t="s">
        <v>719</v>
      </c>
      <c r="D87" s="18">
        <v>15792.0</v>
      </c>
      <c r="E87" s="18">
        <v>15792.0</v>
      </c>
      <c r="F87" s="44">
        <v>46272.0</v>
      </c>
      <c r="G87" s="13" t="s">
        <v>55</v>
      </c>
      <c r="H87" s="13" t="s">
        <v>42</v>
      </c>
      <c r="I87" s="21"/>
      <c r="J87" s="38"/>
    </row>
    <row r="88">
      <c r="A88" s="192">
        <v>46271.0</v>
      </c>
      <c r="B88" s="13" t="s">
        <v>225</v>
      </c>
      <c r="C88" s="13" t="s">
        <v>721</v>
      </c>
      <c r="D88" s="18">
        <v>43180.0</v>
      </c>
      <c r="E88" s="18">
        <v>40000.0</v>
      </c>
      <c r="F88" s="44">
        <v>46271.0</v>
      </c>
      <c r="G88" s="13" t="s">
        <v>55</v>
      </c>
      <c r="H88" s="13" t="s">
        <v>42</v>
      </c>
      <c r="I88" s="21"/>
      <c r="J88" s="38"/>
    </row>
    <row r="89">
      <c r="A89" s="192">
        <v>46271.0</v>
      </c>
      <c r="B89" s="13"/>
      <c r="C89" s="13"/>
      <c r="D89" s="18"/>
      <c r="E89" s="18">
        <v>3180.0</v>
      </c>
      <c r="F89" s="44">
        <v>46272.0</v>
      </c>
      <c r="G89" s="13" t="s">
        <v>55</v>
      </c>
      <c r="H89" s="13" t="s">
        <v>42</v>
      </c>
      <c r="I89" s="13" t="s">
        <v>726</v>
      </c>
      <c r="J89" s="38"/>
    </row>
    <row r="90">
      <c r="A90" s="192">
        <v>46271.0</v>
      </c>
      <c r="B90" s="13" t="s">
        <v>225</v>
      </c>
      <c r="C90" s="13" t="s">
        <v>727</v>
      </c>
      <c r="D90" s="18">
        <v>19000.0</v>
      </c>
      <c r="E90" s="18">
        <v>19000.0</v>
      </c>
      <c r="F90" s="44">
        <v>46272.0</v>
      </c>
      <c r="G90" s="13" t="s">
        <v>55</v>
      </c>
      <c r="H90" s="13" t="s">
        <v>42</v>
      </c>
      <c r="I90" s="13" t="s">
        <v>726</v>
      </c>
      <c r="J90" s="38"/>
    </row>
    <row r="91">
      <c r="A91" s="264">
        <v>46271.0</v>
      </c>
      <c r="B91" s="65" t="s">
        <v>225</v>
      </c>
      <c r="C91" s="88" t="s">
        <v>732</v>
      </c>
      <c r="D91" s="91">
        <v>5650.0</v>
      </c>
      <c r="E91" s="91">
        <v>5650.0</v>
      </c>
      <c r="F91" s="127">
        <v>46272.0</v>
      </c>
      <c r="G91" s="88" t="s">
        <v>55</v>
      </c>
      <c r="H91" s="88" t="s">
        <v>56</v>
      </c>
      <c r="I91" s="57"/>
      <c r="J91" s="64"/>
    </row>
    <row r="92">
      <c r="A92" s="189">
        <v>46272.0</v>
      </c>
      <c r="B92" s="12" t="s">
        <v>10</v>
      </c>
      <c r="C92" s="179" t="s">
        <v>734</v>
      </c>
      <c r="D92" s="16">
        <v>175.0</v>
      </c>
      <c r="E92" s="16">
        <v>175.0</v>
      </c>
      <c r="F92" s="102">
        <v>46272.0</v>
      </c>
      <c r="G92" s="41" t="s">
        <v>14</v>
      </c>
      <c r="H92" s="106" t="s">
        <v>17</v>
      </c>
      <c r="I92" s="25"/>
      <c r="J92" s="27"/>
    </row>
    <row r="93">
      <c r="A93" s="214">
        <v>46272.0</v>
      </c>
      <c r="B93" s="13" t="s">
        <v>25</v>
      </c>
      <c r="C93" s="163" t="s">
        <v>12</v>
      </c>
      <c r="D93" s="104">
        <v>70.0</v>
      </c>
      <c r="E93" s="104">
        <v>70.0</v>
      </c>
      <c r="F93" s="44">
        <v>46272.0</v>
      </c>
      <c r="G93" s="13" t="s">
        <v>14</v>
      </c>
      <c r="H93" s="76" t="s">
        <v>17</v>
      </c>
      <c r="I93" s="107"/>
      <c r="J93" s="46"/>
    </row>
    <row r="94">
      <c r="A94" s="192">
        <v>46272.0</v>
      </c>
      <c r="B94" s="13" t="s">
        <v>101</v>
      </c>
      <c r="C94" s="81" t="s">
        <v>103</v>
      </c>
      <c r="D94" s="18">
        <v>1000.0</v>
      </c>
      <c r="E94" s="18">
        <v>1000.0</v>
      </c>
      <c r="F94" s="44">
        <v>46272.0</v>
      </c>
      <c r="G94" s="13" t="s">
        <v>14</v>
      </c>
      <c r="H94" s="76" t="s">
        <v>17</v>
      </c>
      <c r="I94" s="21"/>
      <c r="J94" s="38"/>
    </row>
    <row r="95">
      <c r="A95" s="192">
        <v>46272.0</v>
      </c>
      <c r="B95" s="13" t="s">
        <v>364</v>
      </c>
      <c r="C95" s="13" t="s">
        <v>737</v>
      </c>
      <c r="D95" s="15">
        <v>4700.0</v>
      </c>
      <c r="E95" s="18">
        <v>4700.0</v>
      </c>
      <c r="F95" s="44">
        <v>46272.0</v>
      </c>
      <c r="G95" s="13" t="s">
        <v>14</v>
      </c>
      <c r="H95" s="76" t="s">
        <v>17</v>
      </c>
      <c r="I95" s="21"/>
      <c r="J95" s="38"/>
    </row>
    <row r="96">
      <c r="A96" s="192">
        <v>46272.0</v>
      </c>
      <c r="B96" s="13" t="s">
        <v>38</v>
      </c>
      <c r="C96" s="13" t="s">
        <v>550</v>
      </c>
      <c r="D96" s="15">
        <v>1000.0</v>
      </c>
      <c r="E96" s="18">
        <v>1000.0</v>
      </c>
      <c r="F96" s="44">
        <v>46272.0</v>
      </c>
      <c r="G96" s="13" t="s">
        <v>14</v>
      </c>
      <c r="H96" s="76" t="s">
        <v>17</v>
      </c>
      <c r="I96" s="21"/>
      <c r="J96" s="38"/>
    </row>
    <row r="97">
      <c r="A97" s="192">
        <v>46272.0</v>
      </c>
      <c r="B97" s="13" t="s">
        <v>38</v>
      </c>
      <c r="C97" s="13" t="s">
        <v>553</v>
      </c>
      <c r="D97" s="15">
        <v>1000.0</v>
      </c>
      <c r="E97" s="18">
        <v>1000.0</v>
      </c>
      <c r="F97" s="44">
        <v>46272.0</v>
      </c>
      <c r="G97" s="13" t="s">
        <v>14</v>
      </c>
      <c r="H97" s="76" t="s">
        <v>17</v>
      </c>
      <c r="I97" s="21"/>
      <c r="J97" s="38"/>
    </row>
    <row r="98">
      <c r="A98" s="192">
        <v>46272.0</v>
      </c>
      <c r="B98" s="13" t="s">
        <v>38</v>
      </c>
      <c r="C98" s="13" t="s">
        <v>482</v>
      </c>
      <c r="D98" s="15">
        <v>2000.0</v>
      </c>
      <c r="E98" s="18">
        <v>2000.0</v>
      </c>
      <c r="F98" s="44">
        <v>46272.0</v>
      </c>
      <c r="G98" s="13" t="s">
        <v>14</v>
      </c>
      <c r="H98" s="76" t="s">
        <v>17</v>
      </c>
      <c r="I98" s="21"/>
      <c r="J98" s="38"/>
    </row>
    <row r="99">
      <c r="A99" s="192">
        <v>46272.0</v>
      </c>
      <c r="B99" s="13" t="s">
        <v>118</v>
      </c>
      <c r="C99" s="13" t="s">
        <v>744</v>
      </c>
      <c r="D99" s="15">
        <v>3150.0</v>
      </c>
      <c r="E99" s="18">
        <v>3150.0</v>
      </c>
      <c r="F99" s="44">
        <v>46272.0</v>
      </c>
      <c r="G99" s="13" t="s">
        <v>211</v>
      </c>
      <c r="H99" s="13" t="s">
        <v>56</v>
      </c>
      <c r="I99" s="21"/>
      <c r="J99" s="38"/>
    </row>
    <row r="100">
      <c r="A100" s="192">
        <v>46272.0</v>
      </c>
      <c r="B100" s="13" t="s">
        <v>620</v>
      </c>
      <c r="C100" s="13" t="s">
        <v>747</v>
      </c>
      <c r="D100" s="15">
        <v>25704.0</v>
      </c>
      <c r="E100" s="18">
        <v>25704.0</v>
      </c>
      <c r="F100" s="44">
        <v>46272.0</v>
      </c>
      <c r="G100" s="13" t="s">
        <v>211</v>
      </c>
      <c r="H100" s="13" t="s">
        <v>56</v>
      </c>
      <c r="I100" s="21"/>
      <c r="J100" s="38"/>
    </row>
    <row r="101">
      <c r="A101" s="264">
        <v>46272.0</v>
      </c>
      <c r="B101" s="65" t="s">
        <v>43</v>
      </c>
      <c r="C101" s="65" t="s">
        <v>749</v>
      </c>
      <c r="D101" s="90">
        <v>79600.0</v>
      </c>
      <c r="E101" s="91">
        <v>79600.0</v>
      </c>
      <c r="F101" s="127">
        <v>46285.0</v>
      </c>
      <c r="G101" s="88" t="s">
        <v>55</v>
      </c>
      <c r="H101" s="88" t="s">
        <v>42</v>
      </c>
      <c r="I101" s="57"/>
      <c r="J101" s="73"/>
    </row>
    <row r="102">
      <c r="A102" s="189">
        <v>46273.0</v>
      </c>
      <c r="B102" s="12" t="s">
        <v>10</v>
      </c>
      <c r="C102" s="179" t="s">
        <v>12</v>
      </c>
      <c r="D102" s="16">
        <v>70.0</v>
      </c>
      <c r="E102" s="16">
        <v>70.0</v>
      </c>
      <c r="F102" s="102">
        <v>46273.0</v>
      </c>
      <c r="G102" s="41" t="s">
        <v>14</v>
      </c>
      <c r="H102" s="106" t="s">
        <v>17</v>
      </c>
      <c r="I102" s="25"/>
      <c r="J102" s="27"/>
    </row>
    <row r="103">
      <c r="A103" s="214">
        <v>46273.0</v>
      </c>
      <c r="B103" s="13" t="s">
        <v>25</v>
      </c>
      <c r="C103" s="163" t="s">
        <v>315</v>
      </c>
      <c r="D103" s="104">
        <v>140.0</v>
      </c>
      <c r="E103" s="104">
        <v>140.0</v>
      </c>
      <c r="F103" s="44">
        <v>46273.0</v>
      </c>
      <c r="G103" s="13" t="s">
        <v>14</v>
      </c>
      <c r="H103" s="76" t="s">
        <v>17</v>
      </c>
      <c r="I103" s="107"/>
      <c r="J103" s="46"/>
    </row>
    <row r="104">
      <c r="A104" s="214">
        <v>46273.0</v>
      </c>
      <c r="B104" s="41" t="s">
        <v>334</v>
      </c>
      <c r="C104" s="41" t="s">
        <v>752</v>
      </c>
      <c r="D104" s="104">
        <v>90.0</v>
      </c>
      <c r="E104" s="104">
        <v>90.0</v>
      </c>
      <c r="F104" s="44">
        <v>46273.0</v>
      </c>
      <c r="G104" s="13" t="s">
        <v>14</v>
      </c>
      <c r="H104" s="76" t="s">
        <v>17</v>
      </c>
      <c r="I104" s="107"/>
      <c r="J104" s="46"/>
    </row>
    <row r="105">
      <c r="A105" s="192">
        <v>46273.0</v>
      </c>
      <c r="B105" s="13" t="s">
        <v>50</v>
      </c>
      <c r="C105" s="13" t="s">
        <v>754</v>
      </c>
      <c r="D105" s="15">
        <v>198.0</v>
      </c>
      <c r="E105" s="18">
        <v>198.0</v>
      </c>
      <c r="F105" s="44">
        <v>46273.0</v>
      </c>
      <c r="G105" s="13" t="s">
        <v>14</v>
      </c>
      <c r="H105" s="76" t="s">
        <v>17</v>
      </c>
      <c r="I105" s="21"/>
      <c r="J105" s="38"/>
    </row>
    <row r="106">
      <c r="A106" s="192">
        <v>46273.0</v>
      </c>
      <c r="B106" s="13" t="s">
        <v>38</v>
      </c>
      <c r="C106" s="13" t="s">
        <v>482</v>
      </c>
      <c r="D106" s="15">
        <v>1000.0</v>
      </c>
      <c r="E106" s="18">
        <v>1000.0</v>
      </c>
      <c r="F106" s="44">
        <v>46273.0</v>
      </c>
      <c r="G106" s="13" t="s">
        <v>14</v>
      </c>
      <c r="H106" s="76" t="s">
        <v>17</v>
      </c>
      <c r="I106" s="21"/>
      <c r="J106" s="38"/>
    </row>
    <row r="107">
      <c r="A107" s="192">
        <v>46273.0</v>
      </c>
      <c r="B107" s="13" t="s">
        <v>38</v>
      </c>
      <c r="C107" s="13" t="s">
        <v>550</v>
      </c>
      <c r="D107" s="15">
        <v>1000.0</v>
      </c>
      <c r="E107" s="18">
        <v>1000.0</v>
      </c>
      <c r="F107" s="44">
        <v>46273.0</v>
      </c>
      <c r="G107" s="13" t="s">
        <v>14</v>
      </c>
      <c r="H107" s="76" t="s">
        <v>17</v>
      </c>
      <c r="I107" s="21"/>
      <c r="J107" s="38"/>
    </row>
    <row r="108">
      <c r="A108" s="192">
        <v>46273.0</v>
      </c>
      <c r="B108" s="13" t="s">
        <v>101</v>
      </c>
      <c r="C108" s="81" t="s">
        <v>756</v>
      </c>
      <c r="D108" s="15">
        <v>2000.0</v>
      </c>
      <c r="E108" s="18">
        <v>2000.0</v>
      </c>
      <c r="F108" s="44">
        <v>46273.0</v>
      </c>
      <c r="G108" s="13" t="s">
        <v>14</v>
      </c>
      <c r="H108" s="76" t="s">
        <v>17</v>
      </c>
      <c r="I108" s="21"/>
      <c r="J108" s="38"/>
    </row>
    <row r="109">
      <c r="A109" s="192">
        <v>46273.0</v>
      </c>
      <c r="B109" s="13" t="s">
        <v>758</v>
      </c>
      <c r="C109" s="13" t="s">
        <v>759</v>
      </c>
      <c r="D109" s="15">
        <v>5768.0</v>
      </c>
      <c r="E109" s="18">
        <v>5768.0</v>
      </c>
      <c r="F109" s="44">
        <v>46273.0</v>
      </c>
      <c r="G109" s="13" t="s">
        <v>211</v>
      </c>
      <c r="H109" s="13" t="s">
        <v>56</v>
      </c>
      <c r="I109" s="21"/>
      <c r="J109" s="38"/>
    </row>
    <row r="110">
      <c r="A110" s="192">
        <v>46273.0</v>
      </c>
      <c r="B110" s="13" t="s">
        <v>217</v>
      </c>
      <c r="C110" s="13" t="s">
        <v>762</v>
      </c>
      <c r="D110" s="15">
        <v>14485.0</v>
      </c>
      <c r="E110" s="18">
        <v>14485.0</v>
      </c>
      <c r="F110" s="44">
        <v>46276.0</v>
      </c>
      <c r="G110" s="13" t="s">
        <v>55</v>
      </c>
      <c r="H110" s="13" t="s">
        <v>42</v>
      </c>
      <c r="I110" s="21"/>
      <c r="J110" s="38"/>
    </row>
    <row r="111">
      <c r="A111" s="192">
        <v>46273.0</v>
      </c>
      <c r="B111" s="13" t="s">
        <v>225</v>
      </c>
      <c r="C111" s="13" t="s">
        <v>599</v>
      </c>
      <c r="D111" s="15">
        <v>1680.0</v>
      </c>
      <c r="E111" s="18">
        <v>1680.0</v>
      </c>
      <c r="F111" s="44">
        <v>46274.0</v>
      </c>
      <c r="G111" s="13" t="s">
        <v>211</v>
      </c>
      <c r="H111" s="13" t="s">
        <v>56</v>
      </c>
      <c r="I111" s="13" t="s">
        <v>765</v>
      </c>
      <c r="J111" s="38"/>
    </row>
    <row r="112">
      <c r="A112" s="192">
        <v>46273.0</v>
      </c>
      <c r="B112" s="13" t="s">
        <v>225</v>
      </c>
      <c r="C112" s="13" t="s">
        <v>768</v>
      </c>
      <c r="D112" s="15">
        <v>1740.0</v>
      </c>
      <c r="E112" s="18">
        <v>1740.0</v>
      </c>
      <c r="F112" s="44">
        <v>46274.0</v>
      </c>
      <c r="G112" s="13" t="s">
        <v>211</v>
      </c>
      <c r="H112" s="13" t="s">
        <v>56</v>
      </c>
      <c r="I112" s="13" t="s">
        <v>765</v>
      </c>
      <c r="J112" s="38"/>
    </row>
    <row r="113">
      <c r="A113" s="192">
        <v>46273.0</v>
      </c>
      <c r="B113" s="13" t="s">
        <v>225</v>
      </c>
      <c r="C113" s="13" t="s">
        <v>771</v>
      </c>
      <c r="D113" s="15">
        <v>1000.0</v>
      </c>
      <c r="E113" s="18">
        <v>1000.0</v>
      </c>
      <c r="F113" s="44">
        <v>46274.0</v>
      </c>
      <c r="G113" s="13" t="s">
        <v>211</v>
      </c>
      <c r="H113" s="13" t="s">
        <v>56</v>
      </c>
      <c r="I113" s="13" t="s">
        <v>765</v>
      </c>
      <c r="J113" s="38"/>
    </row>
    <row r="114">
      <c r="A114" s="210">
        <v>46273.0</v>
      </c>
      <c r="B114" s="88" t="s">
        <v>225</v>
      </c>
      <c r="C114" s="88" t="s">
        <v>502</v>
      </c>
      <c r="D114" s="90">
        <v>11300.0</v>
      </c>
      <c r="E114" s="91">
        <v>11300.0</v>
      </c>
      <c r="F114" s="127">
        <v>46274.0</v>
      </c>
      <c r="G114" s="88" t="s">
        <v>211</v>
      </c>
      <c r="H114" s="88" t="s">
        <v>56</v>
      </c>
      <c r="I114" s="88" t="s">
        <v>765</v>
      </c>
      <c r="J114" s="64"/>
    </row>
    <row r="115">
      <c r="A115" s="189">
        <v>46274.0</v>
      </c>
      <c r="B115" s="12" t="s">
        <v>10</v>
      </c>
      <c r="C115" s="179" t="s">
        <v>12</v>
      </c>
      <c r="D115" s="96">
        <v>70.0</v>
      </c>
      <c r="E115" s="16">
        <v>70.0</v>
      </c>
      <c r="F115" s="102">
        <v>46274.0</v>
      </c>
      <c r="G115" s="41" t="s">
        <v>14</v>
      </c>
      <c r="H115" s="106" t="s">
        <v>17</v>
      </c>
      <c r="I115" s="25"/>
      <c r="J115" s="27"/>
      <c r="N115" s="7">
        <v>1297.0</v>
      </c>
    </row>
    <row r="116">
      <c r="A116" s="192">
        <v>46274.0</v>
      </c>
      <c r="B116" s="13" t="s">
        <v>25</v>
      </c>
      <c r="C116" s="163" t="s">
        <v>449</v>
      </c>
      <c r="D116" s="108">
        <v>105.0</v>
      </c>
      <c r="E116" s="104">
        <v>105.0</v>
      </c>
      <c r="F116" s="44">
        <v>46274.0</v>
      </c>
      <c r="G116" s="13" t="s">
        <v>14</v>
      </c>
      <c r="H116" s="76" t="s">
        <v>17</v>
      </c>
      <c r="I116" s="21"/>
      <c r="J116" s="38"/>
    </row>
    <row r="117">
      <c r="A117" s="192">
        <v>46274.0</v>
      </c>
      <c r="B117" s="13" t="s">
        <v>248</v>
      </c>
      <c r="C117" s="13" t="s">
        <v>772</v>
      </c>
      <c r="D117" s="108">
        <v>325.0</v>
      </c>
      <c r="E117" s="104">
        <v>325.0</v>
      </c>
      <c r="F117" s="44">
        <v>46274.0</v>
      </c>
      <c r="G117" s="13" t="s">
        <v>14</v>
      </c>
      <c r="H117" s="76" t="s">
        <v>17</v>
      </c>
      <c r="I117" s="21"/>
      <c r="J117" s="38"/>
    </row>
    <row r="118">
      <c r="A118" s="192">
        <v>46274.0</v>
      </c>
      <c r="B118" s="13" t="s">
        <v>773</v>
      </c>
      <c r="C118" s="13" t="s">
        <v>562</v>
      </c>
      <c r="D118" s="15">
        <v>1080.0</v>
      </c>
      <c r="E118" s="18">
        <v>1080.0</v>
      </c>
      <c r="F118" s="44">
        <v>46274.0</v>
      </c>
      <c r="G118" s="13" t="s">
        <v>14</v>
      </c>
      <c r="H118" s="76" t="s">
        <v>17</v>
      </c>
      <c r="I118" s="21"/>
      <c r="J118" s="38"/>
    </row>
    <row r="119">
      <c r="A119" s="192">
        <v>46274.0</v>
      </c>
      <c r="B119" s="13" t="s">
        <v>50</v>
      </c>
      <c r="C119" s="13" t="s">
        <v>774</v>
      </c>
      <c r="D119" s="15">
        <v>156.0</v>
      </c>
      <c r="E119" s="18">
        <v>156.0</v>
      </c>
      <c r="F119" s="44">
        <v>46274.0</v>
      </c>
      <c r="G119" s="13" t="s">
        <v>14</v>
      </c>
      <c r="H119" s="76" t="s">
        <v>17</v>
      </c>
      <c r="I119" s="21"/>
      <c r="J119" s="38"/>
    </row>
    <row r="120">
      <c r="A120" s="192">
        <v>46274.0</v>
      </c>
      <c r="B120" s="13" t="s">
        <v>38</v>
      </c>
      <c r="C120" s="13" t="s">
        <v>776</v>
      </c>
      <c r="D120" s="15">
        <v>1000.0</v>
      </c>
      <c r="E120" s="18">
        <v>1000.0</v>
      </c>
      <c r="F120" s="44">
        <v>46274.0</v>
      </c>
      <c r="G120" s="13" t="s">
        <v>14</v>
      </c>
      <c r="H120" s="76" t="s">
        <v>17</v>
      </c>
      <c r="I120" s="21"/>
      <c r="J120" s="38"/>
    </row>
    <row r="121">
      <c r="A121" s="192">
        <v>46274.0</v>
      </c>
      <c r="B121" s="13" t="s">
        <v>38</v>
      </c>
      <c r="C121" s="13" t="s">
        <v>550</v>
      </c>
      <c r="D121" s="15">
        <v>1000.0</v>
      </c>
      <c r="E121" s="18">
        <v>1000.0</v>
      </c>
      <c r="F121" s="44">
        <v>46274.0</v>
      </c>
      <c r="G121" s="13" t="s">
        <v>14</v>
      </c>
      <c r="H121" s="76" t="s">
        <v>17</v>
      </c>
      <c r="I121" s="21"/>
      <c r="J121" s="38"/>
    </row>
    <row r="122">
      <c r="A122" s="192">
        <v>46274.0</v>
      </c>
      <c r="B122" s="13" t="s">
        <v>38</v>
      </c>
      <c r="C122" s="13" t="s">
        <v>553</v>
      </c>
      <c r="D122" s="15">
        <v>1000.0</v>
      </c>
      <c r="E122" s="18">
        <v>1000.0</v>
      </c>
      <c r="F122" s="44">
        <v>46274.0</v>
      </c>
      <c r="G122" s="13" t="s">
        <v>14</v>
      </c>
      <c r="H122" s="76" t="s">
        <v>17</v>
      </c>
      <c r="I122" s="21"/>
      <c r="J122" s="38"/>
    </row>
    <row r="123">
      <c r="A123" s="192">
        <v>46274.0</v>
      </c>
      <c r="B123" s="13" t="s">
        <v>207</v>
      </c>
      <c r="C123" s="13" t="s">
        <v>779</v>
      </c>
      <c r="D123" s="15">
        <v>19800.0</v>
      </c>
      <c r="E123" s="18">
        <v>1980.0</v>
      </c>
      <c r="F123" s="44">
        <v>46274.0</v>
      </c>
      <c r="G123" s="13" t="s">
        <v>211</v>
      </c>
      <c r="H123" s="13" t="s">
        <v>56</v>
      </c>
      <c r="I123" s="21"/>
      <c r="J123" s="38"/>
    </row>
    <row r="124">
      <c r="A124" s="192">
        <v>46274.0</v>
      </c>
      <c r="B124" s="13" t="s">
        <v>620</v>
      </c>
      <c r="C124" s="13" t="s">
        <v>780</v>
      </c>
      <c r="D124" s="15">
        <v>50400.0</v>
      </c>
      <c r="E124" s="18">
        <v>35400.0</v>
      </c>
      <c r="F124" s="44">
        <v>46274.0</v>
      </c>
      <c r="G124" s="13" t="s">
        <v>55</v>
      </c>
      <c r="H124" s="13" t="s">
        <v>37</v>
      </c>
      <c r="I124" s="21"/>
      <c r="J124" s="38"/>
    </row>
    <row r="125">
      <c r="A125" s="192">
        <v>46274.0</v>
      </c>
      <c r="B125" s="21"/>
      <c r="C125" s="21"/>
      <c r="D125" s="268"/>
      <c r="E125" s="18">
        <v>15000.0</v>
      </c>
      <c r="F125" s="44">
        <v>46274.0</v>
      </c>
      <c r="G125" s="13" t="s">
        <v>55</v>
      </c>
      <c r="H125" s="13" t="s">
        <v>781</v>
      </c>
      <c r="I125" s="269" t="s">
        <v>782</v>
      </c>
      <c r="J125" s="38"/>
    </row>
    <row r="126">
      <c r="A126" s="192">
        <v>46274.0</v>
      </c>
      <c r="B126" s="13" t="s">
        <v>160</v>
      </c>
      <c r="C126" s="13" t="s">
        <v>784</v>
      </c>
      <c r="D126" s="15">
        <v>17200.0</v>
      </c>
      <c r="E126" s="18">
        <v>17200.0</v>
      </c>
      <c r="F126" s="44">
        <v>46279.0</v>
      </c>
      <c r="G126" s="13" t="s">
        <v>55</v>
      </c>
      <c r="H126" s="13" t="s">
        <v>37</v>
      </c>
      <c r="I126" s="21"/>
      <c r="J126" s="38"/>
    </row>
    <row r="127">
      <c r="A127" s="192">
        <v>46274.0</v>
      </c>
      <c r="B127" s="255" t="s">
        <v>121</v>
      </c>
      <c r="C127" s="255" t="s">
        <v>786</v>
      </c>
      <c r="D127" s="237">
        <v>341620.0</v>
      </c>
      <c r="E127" s="271"/>
      <c r="F127" s="234"/>
      <c r="G127" s="234"/>
      <c r="H127" s="234"/>
      <c r="I127" s="21"/>
      <c r="J127" s="38"/>
    </row>
    <row r="128">
      <c r="A128" s="192">
        <v>46274.0</v>
      </c>
      <c r="B128" s="13" t="s">
        <v>52</v>
      </c>
      <c r="C128" s="13" t="s">
        <v>788</v>
      </c>
      <c r="D128" s="15">
        <v>26600.0</v>
      </c>
      <c r="E128" s="18">
        <v>26600.0</v>
      </c>
      <c r="F128" s="44">
        <v>46285.0</v>
      </c>
      <c r="G128" s="13" t="s">
        <v>55</v>
      </c>
      <c r="H128" s="13" t="s">
        <v>42</v>
      </c>
      <c r="I128" s="21"/>
      <c r="J128" s="38"/>
    </row>
    <row r="129">
      <c r="A129" s="192">
        <v>46274.0</v>
      </c>
      <c r="B129" s="13" t="s">
        <v>52</v>
      </c>
      <c r="C129" s="13" t="s">
        <v>789</v>
      </c>
      <c r="D129" s="15">
        <v>3180.0</v>
      </c>
      <c r="E129" s="18">
        <v>3180.0</v>
      </c>
      <c r="F129" s="44">
        <v>46279.0</v>
      </c>
      <c r="G129" s="13" t="s">
        <v>55</v>
      </c>
      <c r="H129" s="13" t="s">
        <v>42</v>
      </c>
      <c r="I129" s="21"/>
      <c r="J129" s="38"/>
    </row>
    <row r="130">
      <c r="A130" s="192">
        <v>46274.0</v>
      </c>
      <c r="B130" s="13" t="s">
        <v>790</v>
      </c>
      <c r="C130" s="13" t="s">
        <v>791</v>
      </c>
      <c r="D130" s="15">
        <v>4088.0</v>
      </c>
      <c r="E130" s="18">
        <v>4088.0</v>
      </c>
      <c r="F130" s="44">
        <v>46279.0</v>
      </c>
      <c r="G130" s="13" t="s">
        <v>55</v>
      </c>
      <c r="H130" s="13" t="s">
        <v>42</v>
      </c>
      <c r="I130" s="21"/>
      <c r="J130" s="38"/>
    </row>
    <row r="131">
      <c r="A131" s="192">
        <v>46274.0</v>
      </c>
      <c r="B131" s="184" t="s">
        <v>225</v>
      </c>
      <c r="C131" s="13" t="s">
        <v>793</v>
      </c>
      <c r="D131" s="15">
        <v>6960.0</v>
      </c>
      <c r="E131" s="18">
        <v>6960.0</v>
      </c>
      <c r="F131" s="44">
        <v>46276.0</v>
      </c>
      <c r="G131" s="13" t="s">
        <v>55</v>
      </c>
      <c r="H131" s="13" t="s">
        <v>42</v>
      </c>
      <c r="I131" s="13" t="s">
        <v>795</v>
      </c>
      <c r="J131" s="38"/>
    </row>
    <row r="132">
      <c r="A132" s="192">
        <v>46274.0</v>
      </c>
      <c r="B132" s="184" t="s">
        <v>225</v>
      </c>
      <c r="C132" s="13" t="s">
        <v>796</v>
      </c>
      <c r="D132" s="15">
        <v>2260.0</v>
      </c>
      <c r="E132" s="18">
        <v>2260.0</v>
      </c>
      <c r="F132" s="44">
        <v>46276.0</v>
      </c>
      <c r="G132" s="13" t="s">
        <v>55</v>
      </c>
      <c r="H132" s="13" t="s">
        <v>42</v>
      </c>
      <c r="I132" s="13" t="s">
        <v>795</v>
      </c>
      <c r="J132" s="38"/>
    </row>
    <row r="133">
      <c r="A133" s="210">
        <v>46274.0</v>
      </c>
      <c r="B133" s="274" t="s">
        <v>225</v>
      </c>
      <c r="C133" s="88" t="s">
        <v>800</v>
      </c>
      <c r="D133" s="90">
        <v>3150.0</v>
      </c>
      <c r="E133" s="91">
        <v>3150.0</v>
      </c>
      <c r="F133" s="127">
        <v>46276.0</v>
      </c>
      <c r="G133" s="88" t="s">
        <v>55</v>
      </c>
      <c r="H133" s="88" t="s">
        <v>42</v>
      </c>
      <c r="I133" s="88" t="s">
        <v>795</v>
      </c>
      <c r="J133" s="64"/>
    </row>
    <row r="134">
      <c r="A134" s="10">
        <v>46275.0</v>
      </c>
      <c r="B134" s="12" t="s">
        <v>10</v>
      </c>
      <c r="C134" s="179" t="s">
        <v>449</v>
      </c>
      <c r="D134" s="16">
        <v>105.0</v>
      </c>
      <c r="E134" s="16">
        <v>105.0</v>
      </c>
      <c r="F134" s="102">
        <v>46275.0</v>
      </c>
      <c r="G134" s="41" t="s">
        <v>14</v>
      </c>
      <c r="H134" s="106" t="s">
        <v>17</v>
      </c>
      <c r="I134" s="25"/>
      <c r="J134" s="27"/>
    </row>
    <row r="135">
      <c r="A135" s="30">
        <v>46275.0</v>
      </c>
      <c r="B135" s="13" t="s">
        <v>25</v>
      </c>
      <c r="C135" s="163" t="s">
        <v>12</v>
      </c>
      <c r="D135" s="15">
        <v>70.0</v>
      </c>
      <c r="E135" s="18">
        <v>70.0</v>
      </c>
      <c r="F135" s="44">
        <v>46275.0</v>
      </c>
      <c r="G135" s="13" t="s">
        <v>14</v>
      </c>
      <c r="H135" s="76" t="s">
        <v>17</v>
      </c>
      <c r="I135" s="21"/>
      <c r="J135" s="38"/>
    </row>
    <row r="136">
      <c r="A136" s="30">
        <v>46275.0</v>
      </c>
      <c r="B136" s="13" t="s">
        <v>101</v>
      </c>
      <c r="C136" s="81" t="s">
        <v>103</v>
      </c>
      <c r="D136" s="18">
        <v>1000.0</v>
      </c>
      <c r="E136" s="18">
        <v>1000.0</v>
      </c>
      <c r="F136" s="44">
        <v>46275.0</v>
      </c>
      <c r="G136" s="13" t="s">
        <v>14</v>
      </c>
      <c r="H136" s="76" t="s">
        <v>17</v>
      </c>
      <c r="I136" s="21"/>
      <c r="J136" s="38"/>
    </row>
    <row r="137">
      <c r="A137" s="30">
        <v>46275.0</v>
      </c>
      <c r="B137" s="13" t="s">
        <v>101</v>
      </c>
      <c r="C137" s="81" t="s">
        <v>304</v>
      </c>
      <c r="D137" s="15">
        <v>1000.0</v>
      </c>
      <c r="E137" s="18">
        <v>1000.0</v>
      </c>
      <c r="F137" s="44">
        <v>46275.0</v>
      </c>
      <c r="G137" s="13" t="s">
        <v>14</v>
      </c>
      <c r="H137" s="76" t="s">
        <v>17</v>
      </c>
      <c r="I137" s="21"/>
      <c r="J137" s="38"/>
    </row>
    <row r="138">
      <c r="A138" s="30">
        <v>46275.0</v>
      </c>
      <c r="B138" s="13" t="s">
        <v>38</v>
      </c>
      <c r="C138" s="13" t="s">
        <v>482</v>
      </c>
      <c r="D138" s="15">
        <v>1000.0</v>
      </c>
      <c r="E138" s="18">
        <v>1000.0</v>
      </c>
      <c r="F138" s="44">
        <v>46275.0</v>
      </c>
      <c r="G138" s="13" t="s">
        <v>14</v>
      </c>
      <c r="H138" s="76" t="s">
        <v>17</v>
      </c>
      <c r="I138" s="21"/>
      <c r="J138" s="38"/>
    </row>
    <row r="139">
      <c r="A139" s="30">
        <v>46275.0</v>
      </c>
      <c r="B139" s="13" t="s">
        <v>38</v>
      </c>
      <c r="C139" s="13" t="s">
        <v>553</v>
      </c>
      <c r="D139" s="15">
        <v>1000.0</v>
      </c>
      <c r="E139" s="18">
        <v>1000.0</v>
      </c>
      <c r="F139" s="44">
        <v>46275.0</v>
      </c>
      <c r="G139" s="13" t="s">
        <v>14</v>
      </c>
      <c r="H139" s="76" t="s">
        <v>17</v>
      </c>
      <c r="I139" s="21"/>
      <c r="J139" s="38"/>
    </row>
    <row r="140">
      <c r="A140" s="30">
        <v>46275.0</v>
      </c>
      <c r="B140" s="13" t="s">
        <v>805</v>
      </c>
      <c r="C140" s="13" t="s">
        <v>808</v>
      </c>
      <c r="D140" s="15">
        <v>555.33</v>
      </c>
      <c r="E140" s="18">
        <v>555.33</v>
      </c>
      <c r="F140" s="44">
        <v>46275.0</v>
      </c>
      <c r="G140" s="13" t="s">
        <v>211</v>
      </c>
      <c r="H140" s="13" t="s">
        <v>56</v>
      </c>
      <c r="I140" s="21"/>
      <c r="J140" s="38"/>
    </row>
    <row r="141">
      <c r="A141" s="30">
        <v>46275.0</v>
      </c>
      <c r="B141" s="13" t="s">
        <v>809</v>
      </c>
      <c r="C141" s="13" t="s">
        <v>810</v>
      </c>
      <c r="D141" s="15">
        <v>7920.0</v>
      </c>
      <c r="E141" s="18">
        <v>7425.0</v>
      </c>
      <c r="F141" s="44">
        <v>46275.0</v>
      </c>
      <c r="G141" s="13" t="s">
        <v>55</v>
      </c>
      <c r="H141" s="13" t="s">
        <v>37</v>
      </c>
      <c r="I141" s="21"/>
      <c r="J141" s="38"/>
    </row>
    <row r="142">
      <c r="A142" s="30">
        <v>46275.0</v>
      </c>
      <c r="B142" s="21"/>
      <c r="C142" s="21"/>
      <c r="D142" s="268"/>
      <c r="E142" s="18">
        <v>495.0</v>
      </c>
      <c r="F142" s="44">
        <v>46275.0</v>
      </c>
      <c r="G142" s="13" t="s">
        <v>55</v>
      </c>
      <c r="H142" s="13" t="s">
        <v>37</v>
      </c>
      <c r="I142" s="21"/>
      <c r="J142" s="38"/>
    </row>
    <row r="143">
      <c r="A143" s="30">
        <v>46275.0</v>
      </c>
      <c r="B143" s="13" t="s">
        <v>21</v>
      </c>
      <c r="C143" s="13" t="s">
        <v>814</v>
      </c>
      <c r="D143" s="15">
        <v>57050.0</v>
      </c>
      <c r="E143" s="18">
        <v>6550.0</v>
      </c>
      <c r="F143" s="44">
        <v>46274.0</v>
      </c>
      <c r="G143" s="13" t="s">
        <v>211</v>
      </c>
      <c r="H143" s="13" t="s">
        <v>190</v>
      </c>
      <c r="I143" s="21"/>
      <c r="J143" s="38"/>
    </row>
    <row r="144">
      <c r="A144" s="30">
        <v>46275.0</v>
      </c>
      <c r="B144" s="21"/>
      <c r="C144" s="21"/>
      <c r="D144" s="268"/>
      <c r="E144" s="18">
        <v>25000.0</v>
      </c>
      <c r="F144" s="44">
        <v>46274.0</v>
      </c>
      <c r="G144" s="13" t="s">
        <v>55</v>
      </c>
      <c r="H144" s="13" t="s">
        <v>56</v>
      </c>
      <c r="I144" s="21"/>
      <c r="J144" s="38"/>
    </row>
    <row r="145">
      <c r="A145" s="30">
        <v>46275.0</v>
      </c>
      <c r="B145" s="21"/>
      <c r="C145" s="21"/>
      <c r="D145" s="268"/>
      <c r="E145" s="18">
        <v>25500.0</v>
      </c>
      <c r="F145" s="44">
        <v>46274.0</v>
      </c>
      <c r="G145" s="13" t="s">
        <v>55</v>
      </c>
      <c r="H145" s="13" t="s">
        <v>37</v>
      </c>
      <c r="I145" s="21"/>
      <c r="J145" s="38"/>
    </row>
    <row r="146">
      <c r="A146" s="30">
        <v>46275.0</v>
      </c>
      <c r="B146" s="13" t="s">
        <v>815</v>
      </c>
      <c r="C146" s="13" t="s">
        <v>816</v>
      </c>
      <c r="D146" s="15">
        <v>31500.0</v>
      </c>
      <c r="E146" s="18">
        <v>31500.0</v>
      </c>
      <c r="F146" s="44">
        <v>46274.0</v>
      </c>
      <c r="G146" s="13" t="s">
        <v>818</v>
      </c>
      <c r="H146" s="13" t="s">
        <v>190</v>
      </c>
      <c r="I146" s="21"/>
      <c r="J146" s="38"/>
    </row>
    <row r="147">
      <c r="A147" s="30">
        <v>46275.0</v>
      </c>
      <c r="B147" s="13" t="s">
        <v>821</v>
      </c>
      <c r="C147" s="13" t="s">
        <v>822</v>
      </c>
      <c r="D147" s="15">
        <v>60548.0</v>
      </c>
      <c r="E147" s="18">
        <v>60548.0</v>
      </c>
      <c r="F147" s="44">
        <v>46274.0</v>
      </c>
      <c r="G147" s="13" t="s">
        <v>55</v>
      </c>
      <c r="H147" s="13" t="s">
        <v>37</v>
      </c>
      <c r="I147" s="21"/>
      <c r="J147" s="38"/>
    </row>
    <row r="148">
      <c r="A148" s="30">
        <v>46275.0</v>
      </c>
      <c r="B148" s="13" t="s">
        <v>825</v>
      </c>
      <c r="C148" s="13" t="s">
        <v>826</v>
      </c>
      <c r="D148" s="15">
        <v>8000.0</v>
      </c>
      <c r="E148" s="18">
        <v>8000.0</v>
      </c>
      <c r="F148" s="44">
        <v>46276.0</v>
      </c>
      <c r="G148" s="13" t="s">
        <v>55</v>
      </c>
      <c r="H148" s="13" t="s">
        <v>56</v>
      </c>
      <c r="I148" s="21"/>
      <c r="J148" s="38"/>
    </row>
    <row r="149">
      <c r="A149" s="30">
        <v>46275.0</v>
      </c>
      <c r="B149" s="255" t="s">
        <v>543</v>
      </c>
      <c r="C149" s="255" t="s">
        <v>827</v>
      </c>
      <c r="D149" s="237">
        <v>29950.0</v>
      </c>
      <c r="E149" s="271"/>
      <c r="F149" s="234"/>
      <c r="G149" s="234"/>
      <c r="H149" s="234"/>
      <c r="I149" s="21"/>
      <c r="J149" s="38"/>
    </row>
    <row r="150">
      <c r="A150" s="30">
        <v>46275.0</v>
      </c>
      <c r="B150" s="255" t="s">
        <v>33</v>
      </c>
      <c r="C150" s="255" t="s">
        <v>828</v>
      </c>
      <c r="D150" s="237">
        <v>50700.0</v>
      </c>
      <c r="E150" s="271"/>
      <c r="F150" s="234"/>
      <c r="G150" s="234"/>
      <c r="H150" s="234"/>
      <c r="I150" s="21"/>
      <c r="J150" s="38"/>
    </row>
    <row r="151">
      <c r="A151" s="30">
        <v>46275.0</v>
      </c>
      <c r="B151" s="13" t="s">
        <v>63</v>
      </c>
      <c r="C151" s="13" t="s">
        <v>829</v>
      </c>
      <c r="D151" s="15">
        <v>53998.0</v>
      </c>
      <c r="E151" s="18">
        <v>53998.0</v>
      </c>
      <c r="F151" s="44">
        <v>46285.0</v>
      </c>
      <c r="G151" s="13" t="s">
        <v>55</v>
      </c>
      <c r="H151" s="13" t="s">
        <v>42</v>
      </c>
      <c r="I151" s="21"/>
      <c r="J151" s="38"/>
    </row>
    <row r="152">
      <c r="A152" s="30">
        <v>46275.0</v>
      </c>
      <c r="B152" s="13" t="s">
        <v>405</v>
      </c>
      <c r="C152" s="13" t="s">
        <v>406</v>
      </c>
      <c r="D152" s="15">
        <v>3100.0</v>
      </c>
      <c r="E152" s="18">
        <v>3100.0</v>
      </c>
      <c r="F152" s="44">
        <v>46276.0</v>
      </c>
      <c r="G152" s="13" t="s">
        <v>55</v>
      </c>
      <c r="H152" s="13" t="s">
        <v>56</v>
      </c>
      <c r="I152" s="21"/>
      <c r="J152" s="38"/>
    </row>
    <row r="153">
      <c r="A153" s="30">
        <v>46275.0</v>
      </c>
      <c r="B153" s="13" t="s">
        <v>831</v>
      </c>
      <c r="C153" s="13" t="s">
        <v>832</v>
      </c>
      <c r="D153" s="15">
        <v>20500.0</v>
      </c>
      <c r="E153" s="18">
        <v>20500.0</v>
      </c>
      <c r="F153" s="44">
        <v>46279.0</v>
      </c>
      <c r="G153" s="13" t="s">
        <v>55</v>
      </c>
      <c r="H153" s="13" t="s">
        <v>42</v>
      </c>
      <c r="I153" s="21"/>
      <c r="J153" s="38"/>
    </row>
    <row r="154">
      <c r="A154" s="30">
        <v>46275.0</v>
      </c>
      <c r="B154" s="13" t="s">
        <v>225</v>
      </c>
      <c r="C154" s="13" t="s">
        <v>390</v>
      </c>
      <c r="D154" s="15">
        <v>5080.0</v>
      </c>
      <c r="E154" s="18">
        <v>5080.0</v>
      </c>
      <c r="F154" s="44">
        <v>46276.0</v>
      </c>
      <c r="G154" s="13" t="s">
        <v>55</v>
      </c>
      <c r="H154" s="13" t="s">
        <v>42</v>
      </c>
      <c r="I154" s="13" t="s">
        <v>795</v>
      </c>
      <c r="J154" s="38"/>
    </row>
    <row r="155">
      <c r="A155" s="151">
        <v>46275.0</v>
      </c>
      <c r="B155" s="88" t="s">
        <v>225</v>
      </c>
      <c r="C155" s="88" t="s">
        <v>502</v>
      </c>
      <c r="D155" s="90">
        <v>9040.0</v>
      </c>
      <c r="E155" s="91">
        <v>9040.0</v>
      </c>
      <c r="F155" s="127">
        <v>46276.0</v>
      </c>
      <c r="G155" s="88" t="s">
        <v>55</v>
      </c>
      <c r="H155" s="88" t="s">
        <v>42</v>
      </c>
      <c r="I155" s="65" t="s">
        <v>795</v>
      </c>
      <c r="J155" s="64"/>
    </row>
    <row r="156">
      <c r="A156" s="10">
        <v>46276.0</v>
      </c>
      <c r="B156" s="12" t="s">
        <v>10</v>
      </c>
      <c r="C156" s="179" t="s">
        <v>12</v>
      </c>
      <c r="D156" s="96">
        <v>70.0</v>
      </c>
      <c r="E156" s="16">
        <v>70.0</v>
      </c>
      <c r="F156" s="10">
        <v>46276.0</v>
      </c>
      <c r="G156" s="95" t="s">
        <v>14</v>
      </c>
      <c r="H156" s="23" t="s">
        <v>17</v>
      </c>
      <c r="I156" s="25"/>
      <c r="J156" s="27"/>
    </row>
    <row r="157">
      <c r="A157" s="30">
        <v>46276.0</v>
      </c>
      <c r="B157" s="13" t="s">
        <v>25</v>
      </c>
      <c r="C157" s="163" t="s">
        <v>12</v>
      </c>
      <c r="D157" s="15">
        <v>70.0</v>
      </c>
      <c r="E157" s="18">
        <v>70.0</v>
      </c>
      <c r="F157" s="30">
        <v>46276.0</v>
      </c>
      <c r="G157" s="13" t="s">
        <v>14</v>
      </c>
      <c r="H157" s="76" t="s">
        <v>17</v>
      </c>
      <c r="I157" s="21"/>
      <c r="J157" s="38"/>
    </row>
    <row r="158">
      <c r="A158" s="30">
        <v>46276.0</v>
      </c>
      <c r="B158" s="13" t="s">
        <v>334</v>
      </c>
      <c r="C158" s="13" t="s">
        <v>837</v>
      </c>
      <c r="D158" s="15">
        <v>45.0</v>
      </c>
      <c r="E158" s="18">
        <v>45.0</v>
      </c>
      <c r="F158" s="30">
        <v>46276.0</v>
      </c>
      <c r="G158" s="13" t="s">
        <v>14</v>
      </c>
      <c r="H158" s="76" t="s">
        <v>17</v>
      </c>
      <c r="I158" s="21"/>
      <c r="J158" s="38"/>
    </row>
    <row r="159">
      <c r="A159" s="30">
        <v>46276.0</v>
      </c>
      <c r="B159" s="13" t="s">
        <v>38</v>
      </c>
      <c r="C159" s="13" t="s">
        <v>482</v>
      </c>
      <c r="D159" s="15">
        <v>1000.0</v>
      </c>
      <c r="E159" s="18">
        <v>1000.0</v>
      </c>
      <c r="F159" s="30">
        <v>46276.0</v>
      </c>
      <c r="G159" s="13" t="s">
        <v>14</v>
      </c>
      <c r="H159" s="76" t="s">
        <v>17</v>
      </c>
      <c r="I159" s="21"/>
      <c r="J159" s="38"/>
    </row>
    <row r="160">
      <c r="A160" s="30">
        <v>46276.0</v>
      </c>
      <c r="B160" s="13" t="s">
        <v>38</v>
      </c>
      <c r="C160" s="13" t="s">
        <v>550</v>
      </c>
      <c r="D160" s="15">
        <v>1000.0</v>
      </c>
      <c r="E160" s="18">
        <v>1000.0</v>
      </c>
      <c r="F160" s="30">
        <v>46276.0</v>
      </c>
      <c r="G160" s="13" t="s">
        <v>14</v>
      </c>
      <c r="H160" s="76" t="s">
        <v>17</v>
      </c>
      <c r="I160" s="21"/>
      <c r="J160" s="38"/>
    </row>
    <row r="161">
      <c r="A161" s="30">
        <v>46276.0</v>
      </c>
      <c r="B161" s="13" t="s">
        <v>38</v>
      </c>
      <c r="C161" s="13" t="s">
        <v>553</v>
      </c>
      <c r="D161" s="15">
        <v>1000.0</v>
      </c>
      <c r="E161" s="18">
        <v>1000.0</v>
      </c>
      <c r="F161" s="30">
        <v>46276.0</v>
      </c>
      <c r="G161" s="13" t="s">
        <v>14</v>
      </c>
      <c r="H161" s="76" t="s">
        <v>17</v>
      </c>
      <c r="I161" s="21"/>
      <c r="J161" s="38"/>
    </row>
    <row r="162">
      <c r="A162" s="89">
        <v>46276.0</v>
      </c>
      <c r="B162" s="65" t="s">
        <v>364</v>
      </c>
      <c r="C162" s="65" t="s">
        <v>77</v>
      </c>
      <c r="D162" s="68">
        <v>4700.0</v>
      </c>
      <c r="E162" s="70">
        <v>4700.0</v>
      </c>
      <c r="F162" s="145">
        <v>46279.0</v>
      </c>
      <c r="G162" s="65" t="s">
        <v>55</v>
      </c>
      <c r="H162" s="65" t="s">
        <v>42</v>
      </c>
      <c r="I162" s="97"/>
      <c r="J162" s="73"/>
    </row>
    <row r="163">
      <c r="A163" s="10">
        <v>46277.0</v>
      </c>
      <c r="B163" s="12" t="s">
        <v>10</v>
      </c>
      <c r="C163" s="179" t="s">
        <v>12</v>
      </c>
      <c r="D163" s="96">
        <v>70.0</v>
      </c>
      <c r="E163" s="16">
        <v>70.0</v>
      </c>
      <c r="F163" s="10">
        <v>46277.0</v>
      </c>
      <c r="G163" s="95" t="s">
        <v>14</v>
      </c>
      <c r="H163" s="23" t="s">
        <v>17</v>
      </c>
      <c r="I163" s="25"/>
      <c r="J163" s="27"/>
    </row>
    <row r="164">
      <c r="A164" s="30">
        <v>46277.0</v>
      </c>
      <c r="B164" s="13" t="s">
        <v>25</v>
      </c>
      <c r="C164" s="163" t="s">
        <v>449</v>
      </c>
      <c r="D164" s="15">
        <v>105.0</v>
      </c>
      <c r="E164" s="18">
        <v>105.0</v>
      </c>
      <c r="F164" s="30">
        <v>46277.0</v>
      </c>
      <c r="G164" s="13" t="s">
        <v>14</v>
      </c>
      <c r="H164" s="76" t="s">
        <v>17</v>
      </c>
      <c r="I164" s="21"/>
      <c r="J164" s="38"/>
    </row>
    <row r="165">
      <c r="A165" s="30">
        <v>46277.0</v>
      </c>
      <c r="B165" s="13" t="s">
        <v>248</v>
      </c>
      <c r="C165" s="13" t="s">
        <v>686</v>
      </c>
      <c r="D165" s="15">
        <v>70.0</v>
      </c>
      <c r="E165" s="18">
        <v>70.0</v>
      </c>
      <c r="F165" s="30">
        <v>46277.0</v>
      </c>
      <c r="G165" s="13" t="s">
        <v>14</v>
      </c>
      <c r="H165" s="76" t="s">
        <v>17</v>
      </c>
      <c r="I165" s="21"/>
      <c r="J165" s="38"/>
    </row>
    <row r="166">
      <c r="A166" s="30">
        <v>46277.0</v>
      </c>
      <c r="B166" s="13" t="s">
        <v>465</v>
      </c>
      <c r="C166" s="13" t="s">
        <v>848</v>
      </c>
      <c r="D166" s="15">
        <v>13950.0</v>
      </c>
      <c r="E166" s="18">
        <v>13950.0</v>
      </c>
      <c r="F166" s="30">
        <v>46277.0</v>
      </c>
      <c r="G166" s="13" t="s">
        <v>14</v>
      </c>
      <c r="H166" s="76" t="s">
        <v>17</v>
      </c>
      <c r="I166" s="21"/>
      <c r="J166" s="38"/>
    </row>
    <row r="167">
      <c r="A167" s="30">
        <v>46277.0</v>
      </c>
      <c r="B167" s="13" t="s">
        <v>50</v>
      </c>
      <c r="C167" s="13" t="s">
        <v>265</v>
      </c>
      <c r="D167" s="15">
        <v>160.0</v>
      </c>
      <c r="E167" s="18">
        <v>160.0</v>
      </c>
      <c r="F167" s="30">
        <v>46277.0</v>
      </c>
      <c r="G167" s="13" t="s">
        <v>14</v>
      </c>
      <c r="H167" s="76" t="s">
        <v>17</v>
      </c>
      <c r="I167" s="21"/>
      <c r="J167" s="38"/>
    </row>
    <row r="168">
      <c r="A168" s="30">
        <v>46277.0</v>
      </c>
      <c r="B168" s="13" t="s">
        <v>38</v>
      </c>
      <c r="C168" s="13" t="s">
        <v>550</v>
      </c>
      <c r="D168" s="15">
        <v>1000.0</v>
      </c>
      <c r="E168" s="18">
        <v>1000.0</v>
      </c>
      <c r="F168" s="30">
        <v>46277.0</v>
      </c>
      <c r="G168" s="13" t="s">
        <v>14</v>
      </c>
      <c r="H168" s="76" t="s">
        <v>17</v>
      </c>
      <c r="I168" s="21"/>
      <c r="J168" s="38"/>
    </row>
    <row r="169">
      <c r="A169" s="30">
        <v>46277.0</v>
      </c>
      <c r="B169" s="13" t="s">
        <v>38</v>
      </c>
      <c r="C169" s="13" t="s">
        <v>553</v>
      </c>
      <c r="D169" s="15">
        <v>1000.0</v>
      </c>
      <c r="E169" s="18">
        <v>1000.0</v>
      </c>
      <c r="F169" s="30">
        <v>46277.0</v>
      </c>
      <c r="G169" s="13" t="s">
        <v>14</v>
      </c>
      <c r="H169" s="76" t="s">
        <v>17</v>
      </c>
      <c r="I169" s="21"/>
      <c r="J169" s="38"/>
    </row>
    <row r="170">
      <c r="A170" s="30">
        <v>46277.0</v>
      </c>
      <c r="B170" s="13" t="s">
        <v>38</v>
      </c>
      <c r="C170" s="13" t="s">
        <v>482</v>
      </c>
      <c r="D170" s="15">
        <v>2000.0</v>
      </c>
      <c r="E170" s="18">
        <v>2000.0</v>
      </c>
      <c r="F170" s="30">
        <v>46277.0</v>
      </c>
      <c r="G170" s="13" t="s">
        <v>14</v>
      </c>
      <c r="H170" s="76" t="s">
        <v>17</v>
      </c>
      <c r="I170" s="21"/>
      <c r="J170" s="38"/>
    </row>
    <row r="171">
      <c r="A171" s="30">
        <v>46277.0</v>
      </c>
      <c r="B171" s="13" t="s">
        <v>43</v>
      </c>
      <c r="C171" s="13" t="s">
        <v>855</v>
      </c>
      <c r="D171" s="15">
        <v>26000.0</v>
      </c>
      <c r="E171" s="18">
        <v>26000.0</v>
      </c>
      <c r="F171" s="44">
        <v>46285.0</v>
      </c>
      <c r="G171" s="13" t="s">
        <v>55</v>
      </c>
      <c r="H171" s="13" t="s">
        <v>42</v>
      </c>
      <c r="I171" s="21"/>
      <c r="J171" s="38"/>
    </row>
    <row r="172">
      <c r="A172" s="30">
        <v>46277.0</v>
      </c>
      <c r="B172" s="13" t="s">
        <v>106</v>
      </c>
      <c r="C172" s="13" t="s">
        <v>856</v>
      </c>
      <c r="D172" s="15">
        <v>9971.5</v>
      </c>
      <c r="E172" s="18">
        <v>9971.5</v>
      </c>
      <c r="F172" s="44">
        <v>46283.0</v>
      </c>
      <c r="G172" s="13" t="s">
        <v>211</v>
      </c>
      <c r="H172" s="13" t="s">
        <v>56</v>
      </c>
      <c r="I172" s="21"/>
      <c r="J172" s="38"/>
    </row>
    <row r="173">
      <c r="A173" s="30">
        <v>46277.0</v>
      </c>
      <c r="B173" s="13" t="s">
        <v>225</v>
      </c>
      <c r="C173" s="13" t="s">
        <v>502</v>
      </c>
      <c r="D173" s="15">
        <v>2260.0</v>
      </c>
      <c r="E173" s="18">
        <v>2260.0</v>
      </c>
      <c r="F173" s="44">
        <v>46278.0</v>
      </c>
      <c r="G173" s="13" t="s">
        <v>211</v>
      </c>
      <c r="H173" s="13" t="s">
        <v>56</v>
      </c>
      <c r="I173" s="13" t="s">
        <v>858</v>
      </c>
      <c r="J173" s="38"/>
    </row>
    <row r="174">
      <c r="A174" s="30">
        <v>46277.0</v>
      </c>
      <c r="B174" s="13" t="s">
        <v>225</v>
      </c>
      <c r="C174" s="13" t="s">
        <v>859</v>
      </c>
      <c r="D174" s="15">
        <v>2000.0</v>
      </c>
      <c r="E174" s="18">
        <v>2000.0</v>
      </c>
      <c r="F174" s="44">
        <v>46278.0</v>
      </c>
      <c r="G174" s="13" t="s">
        <v>211</v>
      </c>
      <c r="H174" s="13" t="s">
        <v>56</v>
      </c>
      <c r="I174" s="13" t="s">
        <v>858</v>
      </c>
      <c r="J174" s="38"/>
    </row>
    <row r="175">
      <c r="A175" s="151">
        <v>46277.0</v>
      </c>
      <c r="B175" s="88" t="s">
        <v>288</v>
      </c>
      <c r="C175" s="88" t="s">
        <v>860</v>
      </c>
      <c r="D175" s="90">
        <v>8500.0</v>
      </c>
      <c r="E175" s="91">
        <v>8500.0</v>
      </c>
      <c r="F175" s="127">
        <v>46279.0</v>
      </c>
      <c r="G175" s="88" t="s">
        <v>55</v>
      </c>
      <c r="H175" s="88" t="s">
        <v>42</v>
      </c>
      <c r="I175" s="57"/>
      <c r="J175" s="64"/>
    </row>
    <row r="176">
      <c r="A176" s="10">
        <v>46278.0</v>
      </c>
      <c r="B176" s="12" t="s">
        <v>10</v>
      </c>
      <c r="C176" s="179" t="s">
        <v>315</v>
      </c>
      <c r="D176" s="96">
        <v>140.0</v>
      </c>
      <c r="E176" s="16">
        <v>140.0</v>
      </c>
      <c r="F176" s="19">
        <v>46278.0</v>
      </c>
      <c r="G176" s="95" t="s">
        <v>14</v>
      </c>
      <c r="H176" s="23" t="s">
        <v>17</v>
      </c>
      <c r="I176" s="25"/>
      <c r="J176" s="27"/>
    </row>
    <row r="177">
      <c r="A177" s="162">
        <v>46278.0</v>
      </c>
      <c r="B177" s="13" t="s">
        <v>25</v>
      </c>
      <c r="C177" s="163" t="s">
        <v>681</v>
      </c>
      <c r="D177" s="15">
        <v>35.0</v>
      </c>
      <c r="E177" s="18">
        <v>35.0</v>
      </c>
      <c r="F177" s="102">
        <v>46278.0</v>
      </c>
      <c r="G177" s="13" t="s">
        <v>14</v>
      </c>
      <c r="H177" s="76" t="s">
        <v>17</v>
      </c>
      <c r="I177" s="21"/>
      <c r="J177" s="38"/>
    </row>
    <row r="178">
      <c r="A178" s="162">
        <v>46278.0</v>
      </c>
      <c r="B178" s="13" t="s">
        <v>50</v>
      </c>
      <c r="C178" s="13" t="s">
        <v>866</v>
      </c>
      <c r="D178" s="15">
        <v>395.0</v>
      </c>
      <c r="E178" s="18">
        <v>395.0</v>
      </c>
      <c r="F178" s="102">
        <v>46278.0</v>
      </c>
      <c r="G178" s="13" t="s">
        <v>14</v>
      </c>
      <c r="H178" s="76" t="s">
        <v>17</v>
      </c>
      <c r="I178" s="21"/>
      <c r="J178" s="38"/>
    </row>
    <row r="179">
      <c r="A179" s="162">
        <v>46278.0</v>
      </c>
      <c r="B179" s="13" t="s">
        <v>869</v>
      </c>
      <c r="C179" s="13" t="s">
        <v>871</v>
      </c>
      <c r="D179" s="15">
        <v>455.0</v>
      </c>
      <c r="E179" s="18">
        <v>455.0</v>
      </c>
      <c r="F179" s="102">
        <v>46278.0</v>
      </c>
      <c r="G179" s="13" t="s">
        <v>14</v>
      </c>
      <c r="H179" s="76" t="s">
        <v>17</v>
      </c>
      <c r="I179" s="21"/>
      <c r="J179" s="38"/>
    </row>
    <row r="180">
      <c r="A180" s="162">
        <v>46278.0</v>
      </c>
      <c r="B180" s="13" t="s">
        <v>872</v>
      </c>
      <c r="C180" s="13" t="s">
        <v>873</v>
      </c>
      <c r="D180" s="15">
        <v>620.0</v>
      </c>
      <c r="E180" s="18">
        <v>620.0</v>
      </c>
      <c r="F180" s="102">
        <v>46278.0</v>
      </c>
      <c r="G180" s="13" t="s">
        <v>14</v>
      </c>
      <c r="H180" s="76" t="s">
        <v>17</v>
      </c>
      <c r="I180" s="21"/>
      <c r="J180" s="38"/>
    </row>
    <row r="181">
      <c r="A181" s="162">
        <v>46278.0</v>
      </c>
      <c r="B181" s="13" t="s">
        <v>872</v>
      </c>
      <c r="C181" s="13" t="s">
        <v>873</v>
      </c>
      <c r="D181" s="15">
        <v>620.0</v>
      </c>
      <c r="E181" s="18">
        <v>620.0</v>
      </c>
      <c r="F181" s="102">
        <v>46278.0</v>
      </c>
      <c r="G181" s="13" t="s">
        <v>14</v>
      </c>
      <c r="H181" s="76" t="s">
        <v>17</v>
      </c>
      <c r="I181" s="21"/>
      <c r="J181" s="38"/>
    </row>
    <row r="182">
      <c r="A182" s="162">
        <v>46278.0</v>
      </c>
      <c r="B182" s="13" t="s">
        <v>101</v>
      </c>
      <c r="C182" s="81" t="s">
        <v>756</v>
      </c>
      <c r="D182" s="15">
        <v>3000.0</v>
      </c>
      <c r="E182" s="18">
        <v>3000.0</v>
      </c>
      <c r="F182" s="102">
        <v>46278.0</v>
      </c>
      <c r="G182" s="13" t="s">
        <v>14</v>
      </c>
      <c r="H182" s="76" t="s">
        <v>17</v>
      </c>
      <c r="I182" s="13"/>
      <c r="J182" s="38"/>
    </row>
    <row r="183">
      <c r="A183" s="162">
        <v>46278.0</v>
      </c>
      <c r="B183" s="13" t="s">
        <v>38</v>
      </c>
      <c r="C183" s="13" t="s">
        <v>550</v>
      </c>
      <c r="D183" s="15">
        <v>1000.0</v>
      </c>
      <c r="E183" s="18">
        <v>1000.0</v>
      </c>
      <c r="F183" s="102">
        <v>46278.0</v>
      </c>
      <c r="G183" s="13" t="s">
        <v>14</v>
      </c>
      <c r="H183" s="76" t="s">
        <v>17</v>
      </c>
      <c r="I183" s="13"/>
      <c r="J183" s="38"/>
    </row>
    <row r="184">
      <c r="A184" s="162">
        <v>46278.0</v>
      </c>
      <c r="B184" s="13" t="s">
        <v>38</v>
      </c>
      <c r="C184" s="13" t="s">
        <v>553</v>
      </c>
      <c r="D184" s="15">
        <v>1000.0</v>
      </c>
      <c r="E184" s="18">
        <v>1000.0</v>
      </c>
      <c r="F184" s="102">
        <v>46278.0</v>
      </c>
      <c r="G184" s="13" t="s">
        <v>14</v>
      </c>
      <c r="H184" s="76" t="s">
        <v>17</v>
      </c>
      <c r="I184" s="13"/>
      <c r="J184" s="38"/>
    </row>
    <row r="185">
      <c r="A185" s="162">
        <v>46278.0</v>
      </c>
      <c r="B185" s="13" t="s">
        <v>38</v>
      </c>
      <c r="C185" s="13" t="s">
        <v>482</v>
      </c>
      <c r="D185" s="15">
        <v>1000.0</v>
      </c>
      <c r="E185" s="18">
        <v>1000.0</v>
      </c>
      <c r="F185" s="102">
        <v>46278.0</v>
      </c>
      <c r="G185" s="13" t="s">
        <v>14</v>
      </c>
      <c r="H185" s="76" t="s">
        <v>17</v>
      </c>
      <c r="I185" s="13"/>
      <c r="J185" s="38"/>
    </row>
    <row r="186">
      <c r="A186" s="162">
        <v>46278.0</v>
      </c>
      <c r="B186" s="13" t="s">
        <v>225</v>
      </c>
      <c r="C186" s="13" t="s">
        <v>876</v>
      </c>
      <c r="D186" s="15">
        <v>1000.0</v>
      </c>
      <c r="E186" s="18">
        <v>1000.0</v>
      </c>
      <c r="F186" s="44">
        <v>46278.0</v>
      </c>
      <c r="G186" s="13" t="s">
        <v>211</v>
      </c>
      <c r="H186" s="13" t="s">
        <v>56</v>
      </c>
      <c r="I186" s="13" t="s">
        <v>878</v>
      </c>
      <c r="J186" s="38"/>
    </row>
    <row r="187">
      <c r="A187" s="162">
        <v>46278.0</v>
      </c>
      <c r="B187" s="13" t="s">
        <v>225</v>
      </c>
      <c r="C187" s="13" t="s">
        <v>879</v>
      </c>
      <c r="D187" s="15">
        <v>1130.0</v>
      </c>
      <c r="E187" s="18">
        <v>1130.0</v>
      </c>
      <c r="F187" s="44">
        <v>46278.0</v>
      </c>
      <c r="G187" s="13" t="s">
        <v>211</v>
      </c>
      <c r="H187" s="13" t="s">
        <v>56</v>
      </c>
      <c r="I187" s="13" t="s">
        <v>878</v>
      </c>
      <c r="J187" s="38"/>
    </row>
    <row r="188">
      <c r="A188" s="162">
        <v>46278.0</v>
      </c>
      <c r="B188" s="13" t="s">
        <v>217</v>
      </c>
      <c r="C188" s="13" t="s">
        <v>113</v>
      </c>
      <c r="D188" s="15">
        <v>825.0</v>
      </c>
      <c r="E188" s="18">
        <v>825.0</v>
      </c>
      <c r="F188" s="44">
        <v>46278.0</v>
      </c>
      <c r="G188" s="13" t="s">
        <v>211</v>
      </c>
      <c r="H188" s="13" t="s">
        <v>56</v>
      </c>
      <c r="I188" s="13" t="s">
        <v>881</v>
      </c>
      <c r="J188" s="38"/>
    </row>
    <row r="189">
      <c r="A189" s="162">
        <v>46278.0</v>
      </c>
      <c r="B189" s="13" t="s">
        <v>217</v>
      </c>
      <c r="C189" s="13" t="s">
        <v>882</v>
      </c>
      <c r="D189" s="15">
        <v>765.0</v>
      </c>
      <c r="E189" s="18">
        <v>765.0</v>
      </c>
      <c r="F189" s="44">
        <v>46278.0</v>
      </c>
      <c r="G189" s="13" t="s">
        <v>211</v>
      </c>
      <c r="H189" s="13" t="s">
        <v>56</v>
      </c>
      <c r="I189" s="13" t="s">
        <v>881</v>
      </c>
      <c r="J189" s="38"/>
    </row>
    <row r="190">
      <c r="A190" s="162">
        <v>46278.0</v>
      </c>
      <c r="B190" s="13" t="s">
        <v>217</v>
      </c>
      <c r="C190" s="13" t="s">
        <v>883</v>
      </c>
      <c r="D190" s="15">
        <v>2688.0</v>
      </c>
      <c r="E190" s="18">
        <v>2688.0</v>
      </c>
      <c r="F190" s="44">
        <v>46279.0</v>
      </c>
      <c r="G190" s="13" t="s">
        <v>211</v>
      </c>
      <c r="H190" s="13" t="s">
        <v>56</v>
      </c>
      <c r="I190" s="13"/>
      <c r="J190" s="38"/>
    </row>
    <row r="191">
      <c r="A191" s="162">
        <v>46278.0</v>
      </c>
      <c r="B191" s="13" t="s">
        <v>885</v>
      </c>
      <c r="C191" s="13" t="s">
        <v>886</v>
      </c>
      <c r="D191" s="15">
        <v>35898.65</v>
      </c>
      <c r="E191" s="18">
        <v>35898.65</v>
      </c>
      <c r="F191" s="44">
        <v>46278.0</v>
      </c>
      <c r="G191" s="13" t="s">
        <v>55</v>
      </c>
      <c r="H191" s="13" t="s">
        <v>190</v>
      </c>
      <c r="I191" s="21"/>
      <c r="J191" s="38"/>
    </row>
    <row r="192">
      <c r="A192" s="30">
        <v>46278.0</v>
      </c>
      <c r="B192" s="13" t="s">
        <v>405</v>
      </c>
      <c r="C192" s="13" t="s">
        <v>406</v>
      </c>
      <c r="D192" s="15">
        <v>3100.0</v>
      </c>
      <c r="E192" s="18">
        <v>3100.0</v>
      </c>
      <c r="F192" s="44">
        <v>46279.0</v>
      </c>
      <c r="G192" s="13" t="s">
        <v>55</v>
      </c>
      <c r="H192" s="13" t="s">
        <v>42</v>
      </c>
      <c r="I192" s="21"/>
      <c r="J192" s="38"/>
    </row>
    <row r="193">
      <c r="A193" s="151">
        <v>46278.0</v>
      </c>
      <c r="B193" s="88" t="s">
        <v>43</v>
      </c>
      <c r="C193" s="88" t="s">
        <v>887</v>
      </c>
      <c r="D193" s="90">
        <v>32800.0</v>
      </c>
      <c r="E193" s="91">
        <v>32800.0</v>
      </c>
      <c r="F193" s="127">
        <v>46285.0</v>
      </c>
      <c r="G193" s="88" t="s">
        <v>55</v>
      </c>
      <c r="H193" s="88" t="s">
        <v>56</v>
      </c>
      <c r="I193" s="57"/>
      <c r="J193" s="64"/>
    </row>
    <row r="194">
      <c r="A194" s="10">
        <v>46279.0</v>
      </c>
      <c r="B194" s="12" t="s">
        <v>10</v>
      </c>
      <c r="C194" s="179" t="s">
        <v>449</v>
      </c>
      <c r="D194" s="96">
        <v>140.0</v>
      </c>
      <c r="E194" s="16">
        <v>140.0</v>
      </c>
      <c r="F194" s="19">
        <v>46279.0</v>
      </c>
      <c r="G194" s="95" t="s">
        <v>14</v>
      </c>
      <c r="H194" s="23" t="s">
        <v>17</v>
      </c>
      <c r="I194" s="25"/>
      <c r="J194" s="27"/>
    </row>
    <row r="195">
      <c r="A195" s="30">
        <v>46279.0</v>
      </c>
      <c r="B195" s="13" t="s">
        <v>25</v>
      </c>
      <c r="C195" s="163" t="s">
        <v>681</v>
      </c>
      <c r="D195" s="15">
        <v>35.0</v>
      </c>
      <c r="E195" s="18">
        <v>35.0</v>
      </c>
      <c r="F195" s="44">
        <v>46279.0</v>
      </c>
      <c r="G195" s="13" t="s">
        <v>14</v>
      </c>
      <c r="H195" s="76" t="s">
        <v>17</v>
      </c>
      <c r="I195" s="21"/>
      <c r="J195" s="38"/>
    </row>
    <row r="196">
      <c r="A196" s="30">
        <v>46279.0</v>
      </c>
      <c r="B196" s="13" t="s">
        <v>248</v>
      </c>
      <c r="C196" s="13" t="s">
        <v>892</v>
      </c>
      <c r="D196" s="15">
        <v>225.0</v>
      </c>
      <c r="E196" s="18">
        <v>225.0</v>
      </c>
      <c r="F196" s="44">
        <v>46279.0</v>
      </c>
      <c r="G196" s="13" t="s">
        <v>14</v>
      </c>
      <c r="H196" s="76" t="s">
        <v>17</v>
      </c>
      <c r="I196" s="21"/>
      <c r="J196" s="38"/>
    </row>
    <row r="197">
      <c r="A197" s="162">
        <v>46279.0</v>
      </c>
      <c r="B197" s="13" t="s">
        <v>101</v>
      </c>
      <c r="C197" s="81" t="s">
        <v>893</v>
      </c>
      <c r="D197" s="15">
        <v>2000.0</v>
      </c>
      <c r="E197" s="18">
        <v>2000.0</v>
      </c>
      <c r="F197" s="44">
        <v>46279.0</v>
      </c>
      <c r="G197" s="13" t="s">
        <v>14</v>
      </c>
      <c r="H197" s="76" t="s">
        <v>17</v>
      </c>
      <c r="I197" s="21"/>
      <c r="J197" s="38"/>
    </row>
    <row r="198">
      <c r="A198" s="162">
        <v>46279.0</v>
      </c>
      <c r="B198" s="13" t="s">
        <v>38</v>
      </c>
      <c r="C198" s="13" t="s">
        <v>550</v>
      </c>
      <c r="D198" s="15">
        <v>1000.0</v>
      </c>
      <c r="E198" s="18">
        <v>1000.0</v>
      </c>
      <c r="F198" s="44">
        <v>46279.0</v>
      </c>
      <c r="G198" s="13" t="s">
        <v>14</v>
      </c>
      <c r="H198" s="76" t="s">
        <v>17</v>
      </c>
      <c r="I198" s="21"/>
      <c r="J198" s="38"/>
    </row>
    <row r="199">
      <c r="A199" s="162">
        <v>46279.0</v>
      </c>
      <c r="B199" s="13" t="s">
        <v>38</v>
      </c>
      <c r="C199" s="13" t="s">
        <v>553</v>
      </c>
      <c r="D199" s="15">
        <v>1000.0</v>
      </c>
      <c r="E199" s="18">
        <v>1000.0</v>
      </c>
      <c r="F199" s="44">
        <v>46279.0</v>
      </c>
      <c r="G199" s="13" t="s">
        <v>14</v>
      </c>
      <c r="H199" s="76" t="s">
        <v>17</v>
      </c>
      <c r="I199" s="21"/>
      <c r="J199" s="38"/>
    </row>
    <row r="200">
      <c r="A200" s="162">
        <v>46279.0</v>
      </c>
      <c r="B200" s="13" t="s">
        <v>38</v>
      </c>
      <c r="C200" s="13" t="s">
        <v>482</v>
      </c>
      <c r="D200" s="15">
        <v>2000.0</v>
      </c>
      <c r="E200" s="18">
        <v>2000.0</v>
      </c>
      <c r="F200" s="44">
        <v>46279.0</v>
      </c>
      <c r="G200" s="13" t="s">
        <v>14</v>
      </c>
      <c r="H200" s="76" t="s">
        <v>17</v>
      </c>
      <c r="I200" s="21"/>
      <c r="J200" s="38"/>
    </row>
    <row r="201">
      <c r="A201" s="162">
        <v>46279.0</v>
      </c>
      <c r="B201" s="13" t="s">
        <v>872</v>
      </c>
      <c r="C201" s="13" t="s">
        <v>895</v>
      </c>
      <c r="D201" s="15">
        <v>1150.0</v>
      </c>
      <c r="E201" s="18">
        <v>1150.0</v>
      </c>
      <c r="F201" s="44">
        <v>46279.0</v>
      </c>
      <c r="G201" s="13" t="s">
        <v>14</v>
      </c>
      <c r="H201" s="76" t="s">
        <v>17</v>
      </c>
      <c r="I201" s="21"/>
      <c r="J201" s="38"/>
    </row>
    <row r="202">
      <c r="A202" s="30">
        <v>46279.0</v>
      </c>
      <c r="B202" s="13" t="s">
        <v>872</v>
      </c>
      <c r="C202" s="13" t="s">
        <v>897</v>
      </c>
      <c r="D202" s="15">
        <v>1240.0</v>
      </c>
      <c r="E202" s="18">
        <v>1240.0</v>
      </c>
      <c r="F202" s="44">
        <v>46279.0</v>
      </c>
      <c r="G202" s="13" t="s">
        <v>14</v>
      </c>
      <c r="H202" s="76" t="s">
        <v>17</v>
      </c>
      <c r="I202" s="21"/>
      <c r="J202" s="38"/>
    </row>
    <row r="203">
      <c r="A203" s="30">
        <v>46279.0</v>
      </c>
      <c r="B203" s="13" t="s">
        <v>900</v>
      </c>
      <c r="C203" s="13" t="s">
        <v>901</v>
      </c>
      <c r="D203" s="15">
        <v>120.0</v>
      </c>
      <c r="E203" s="18">
        <v>120.0</v>
      </c>
      <c r="F203" s="44">
        <v>46279.0</v>
      </c>
      <c r="G203" s="13" t="s">
        <v>14</v>
      </c>
      <c r="H203" s="76" t="s">
        <v>17</v>
      </c>
      <c r="I203" s="21"/>
      <c r="J203" s="38"/>
    </row>
    <row r="204">
      <c r="A204" s="30">
        <v>46279.0</v>
      </c>
      <c r="B204" s="255" t="s">
        <v>401</v>
      </c>
      <c r="C204" s="255" t="s">
        <v>904</v>
      </c>
      <c r="D204" s="237">
        <v>65575.0</v>
      </c>
      <c r="E204" s="278"/>
      <c r="F204" s="279"/>
      <c r="G204" s="255"/>
      <c r="H204" s="255"/>
      <c r="I204" s="21"/>
      <c r="J204" s="38"/>
    </row>
    <row r="205">
      <c r="A205" s="280">
        <v>46279.0</v>
      </c>
      <c r="B205" s="88" t="s">
        <v>906</v>
      </c>
      <c r="C205" s="88" t="s">
        <v>907</v>
      </c>
      <c r="D205" s="90">
        <v>59000.0</v>
      </c>
      <c r="E205" s="91">
        <v>59000.0</v>
      </c>
      <c r="F205" s="127">
        <v>46281.0</v>
      </c>
      <c r="G205" s="88" t="s">
        <v>908</v>
      </c>
      <c r="H205" s="88" t="s">
        <v>42</v>
      </c>
      <c r="I205" s="57"/>
      <c r="J205" s="64"/>
    </row>
    <row r="206">
      <c r="A206" s="10">
        <v>46280.0</v>
      </c>
      <c r="B206" s="12" t="s">
        <v>10</v>
      </c>
      <c r="C206" s="179" t="s">
        <v>449</v>
      </c>
      <c r="D206" s="96">
        <v>140.0</v>
      </c>
      <c r="E206" s="16">
        <v>140.0</v>
      </c>
      <c r="F206" s="19">
        <v>46280.0</v>
      </c>
      <c r="G206" s="95" t="s">
        <v>14</v>
      </c>
      <c r="H206" s="23" t="s">
        <v>17</v>
      </c>
      <c r="I206" s="25"/>
      <c r="J206" s="27"/>
    </row>
    <row r="207">
      <c r="A207" s="30">
        <v>46280.0</v>
      </c>
      <c r="B207" s="13" t="s">
        <v>25</v>
      </c>
      <c r="C207" s="163" t="s">
        <v>681</v>
      </c>
      <c r="D207" s="15">
        <v>35.0</v>
      </c>
      <c r="E207" s="18">
        <v>35.0</v>
      </c>
      <c r="F207" s="44">
        <v>46280.0</v>
      </c>
      <c r="G207" s="13" t="s">
        <v>14</v>
      </c>
      <c r="H207" s="76" t="s">
        <v>17</v>
      </c>
      <c r="I207" s="21"/>
      <c r="J207" s="38"/>
    </row>
    <row r="208">
      <c r="A208" s="30">
        <v>46280.0</v>
      </c>
      <c r="B208" s="13" t="s">
        <v>101</v>
      </c>
      <c r="C208" s="81" t="s">
        <v>910</v>
      </c>
      <c r="D208" s="15">
        <v>3000.0</v>
      </c>
      <c r="E208" s="18">
        <v>3000.0</v>
      </c>
      <c r="F208" s="44">
        <v>46280.0</v>
      </c>
      <c r="G208" s="13" t="s">
        <v>14</v>
      </c>
      <c r="H208" s="76" t="s">
        <v>17</v>
      </c>
      <c r="I208" s="21"/>
      <c r="J208" s="38"/>
    </row>
    <row r="209">
      <c r="A209" s="30">
        <v>46280.0</v>
      </c>
      <c r="B209" s="13" t="s">
        <v>101</v>
      </c>
      <c r="C209" s="81" t="s">
        <v>911</v>
      </c>
      <c r="D209" s="15">
        <v>2600.0</v>
      </c>
      <c r="E209" s="18">
        <v>2600.0</v>
      </c>
      <c r="F209" s="44">
        <v>46280.0</v>
      </c>
      <c r="G209" s="13" t="s">
        <v>14</v>
      </c>
      <c r="H209" s="76" t="s">
        <v>17</v>
      </c>
      <c r="I209" s="21"/>
      <c r="J209" s="38"/>
    </row>
    <row r="210">
      <c r="A210" s="30">
        <v>46280.0</v>
      </c>
      <c r="B210" s="13" t="s">
        <v>38</v>
      </c>
      <c r="C210" s="13" t="s">
        <v>482</v>
      </c>
      <c r="D210" s="15">
        <v>1000.0</v>
      </c>
      <c r="E210" s="18">
        <v>1000.0</v>
      </c>
      <c r="F210" s="44">
        <v>46280.0</v>
      </c>
      <c r="G210" s="13" t="s">
        <v>14</v>
      </c>
      <c r="H210" s="76" t="s">
        <v>17</v>
      </c>
      <c r="I210" s="21"/>
      <c r="J210" s="38"/>
    </row>
    <row r="211">
      <c r="A211" s="30">
        <v>46280.0</v>
      </c>
      <c r="B211" s="13" t="s">
        <v>48</v>
      </c>
      <c r="C211" s="13" t="s">
        <v>914</v>
      </c>
      <c r="D211" s="15">
        <v>1647.0</v>
      </c>
      <c r="E211" s="18">
        <v>1647.0</v>
      </c>
      <c r="F211" s="44">
        <v>46280.0</v>
      </c>
      <c r="G211" s="13" t="s">
        <v>14</v>
      </c>
      <c r="H211" s="76" t="s">
        <v>17</v>
      </c>
      <c r="I211" s="21"/>
      <c r="J211" s="38"/>
    </row>
    <row r="212">
      <c r="A212" s="30">
        <v>46280.0</v>
      </c>
      <c r="B212" s="13" t="s">
        <v>773</v>
      </c>
      <c r="C212" s="13" t="s">
        <v>653</v>
      </c>
      <c r="D212" s="15">
        <v>810.0</v>
      </c>
      <c r="E212" s="18">
        <v>810.0</v>
      </c>
      <c r="F212" s="44">
        <v>46280.0</v>
      </c>
      <c r="G212" s="13" t="s">
        <v>14</v>
      </c>
      <c r="H212" s="76" t="s">
        <v>17</v>
      </c>
      <c r="I212" s="21"/>
      <c r="J212" s="38"/>
    </row>
    <row r="213">
      <c r="A213" s="30">
        <v>46280.0</v>
      </c>
      <c r="B213" s="13" t="s">
        <v>43</v>
      </c>
      <c r="C213" s="13" t="s">
        <v>917</v>
      </c>
      <c r="D213" s="15">
        <v>52000.0</v>
      </c>
      <c r="E213" s="18">
        <v>52000.0</v>
      </c>
      <c r="F213" s="44">
        <v>46285.0</v>
      </c>
      <c r="G213" s="13" t="s">
        <v>55</v>
      </c>
      <c r="H213" s="13" t="s">
        <v>56</v>
      </c>
      <c r="I213" s="21"/>
      <c r="J213" s="38"/>
    </row>
    <row r="214">
      <c r="A214" s="30">
        <v>46280.0</v>
      </c>
      <c r="B214" s="13" t="s">
        <v>118</v>
      </c>
      <c r="C214" s="13" t="s">
        <v>744</v>
      </c>
      <c r="D214" s="15">
        <v>3150.0</v>
      </c>
      <c r="E214" s="18">
        <v>3150.0</v>
      </c>
      <c r="F214" s="44">
        <v>46278.0</v>
      </c>
      <c r="G214" s="13" t="s">
        <v>211</v>
      </c>
      <c r="H214" s="13" t="s">
        <v>56</v>
      </c>
      <c r="I214" s="21"/>
      <c r="J214" s="38"/>
    </row>
    <row r="215">
      <c r="A215" s="30">
        <v>46280.0</v>
      </c>
      <c r="B215" s="13" t="s">
        <v>217</v>
      </c>
      <c r="C215" s="13" t="s">
        <v>918</v>
      </c>
      <c r="D215" s="15">
        <v>14604.64</v>
      </c>
      <c r="E215" s="18">
        <v>14604.0</v>
      </c>
      <c r="F215" s="44">
        <v>46281.0</v>
      </c>
      <c r="G215" s="13" t="s">
        <v>211</v>
      </c>
      <c r="H215" s="13" t="s">
        <v>56</v>
      </c>
      <c r="I215" s="21"/>
      <c r="J215" s="38"/>
    </row>
    <row r="216">
      <c r="A216" s="30">
        <v>46280.0</v>
      </c>
      <c r="B216" s="13" t="s">
        <v>290</v>
      </c>
      <c r="C216" s="13" t="s">
        <v>722</v>
      </c>
      <c r="D216" s="15">
        <v>8961.23</v>
      </c>
      <c r="E216" s="18">
        <v>8961.23</v>
      </c>
      <c r="F216" s="44">
        <v>46280.0</v>
      </c>
      <c r="G216" s="13" t="s">
        <v>55</v>
      </c>
      <c r="H216" s="13" t="s">
        <v>42</v>
      </c>
      <c r="I216" s="21"/>
      <c r="J216" s="38"/>
    </row>
    <row r="217">
      <c r="A217" s="151">
        <v>46280.0</v>
      </c>
      <c r="B217" s="88" t="s">
        <v>225</v>
      </c>
      <c r="C217" s="88" t="s">
        <v>922</v>
      </c>
      <c r="D217" s="90">
        <v>11300.0</v>
      </c>
      <c r="E217" s="91">
        <v>11300.0</v>
      </c>
      <c r="F217" s="127">
        <v>46281.0</v>
      </c>
      <c r="G217" s="65" t="s">
        <v>211</v>
      </c>
      <c r="H217" s="65" t="s">
        <v>56</v>
      </c>
      <c r="I217" s="57"/>
      <c r="J217" s="64"/>
    </row>
    <row r="218">
      <c r="A218" s="10">
        <v>46281.0</v>
      </c>
      <c r="B218" s="12" t="s">
        <v>10</v>
      </c>
      <c r="C218" s="179" t="s">
        <v>12</v>
      </c>
      <c r="D218" s="96">
        <v>70.0</v>
      </c>
      <c r="E218" s="16">
        <v>70.0</v>
      </c>
      <c r="F218" s="19">
        <v>46281.0</v>
      </c>
      <c r="G218" s="95" t="s">
        <v>14</v>
      </c>
      <c r="H218" s="23" t="s">
        <v>17</v>
      </c>
      <c r="I218" s="25"/>
      <c r="J218" s="27"/>
    </row>
    <row r="219">
      <c r="A219" s="30">
        <v>46281.0</v>
      </c>
      <c r="B219" s="13" t="s">
        <v>25</v>
      </c>
      <c r="C219" s="163" t="s">
        <v>12</v>
      </c>
      <c r="D219" s="15">
        <v>70.0</v>
      </c>
      <c r="E219" s="18">
        <v>70.0</v>
      </c>
      <c r="F219" s="44">
        <v>46281.0</v>
      </c>
      <c r="G219" s="13" t="s">
        <v>14</v>
      </c>
      <c r="H219" s="76" t="s">
        <v>17</v>
      </c>
      <c r="I219" s="21"/>
      <c r="J219" s="38"/>
    </row>
    <row r="220">
      <c r="A220" s="30">
        <v>46281.0</v>
      </c>
      <c r="B220" s="13" t="s">
        <v>872</v>
      </c>
      <c r="C220" s="13" t="s">
        <v>897</v>
      </c>
      <c r="D220" s="15">
        <v>1240.0</v>
      </c>
      <c r="E220" s="18">
        <v>1240.0</v>
      </c>
      <c r="F220" s="44">
        <v>46281.0</v>
      </c>
      <c r="G220" s="13" t="s">
        <v>14</v>
      </c>
      <c r="H220" s="76" t="s">
        <v>17</v>
      </c>
      <c r="I220" s="21"/>
      <c r="J220" s="38"/>
    </row>
    <row r="221">
      <c r="A221" s="30">
        <v>46281.0</v>
      </c>
      <c r="B221" s="13" t="s">
        <v>872</v>
      </c>
      <c r="C221" s="13" t="s">
        <v>928</v>
      </c>
      <c r="D221" s="15">
        <v>67.0</v>
      </c>
      <c r="E221" s="18">
        <v>67.0</v>
      </c>
      <c r="F221" s="44">
        <v>46281.0</v>
      </c>
      <c r="G221" s="13" t="s">
        <v>14</v>
      </c>
      <c r="H221" s="76" t="s">
        <v>17</v>
      </c>
      <c r="I221" s="21"/>
      <c r="J221" s="38"/>
    </row>
    <row r="222">
      <c r="A222" s="30">
        <v>46281.0</v>
      </c>
      <c r="B222" s="13" t="s">
        <v>52</v>
      </c>
      <c r="C222" s="13" t="s">
        <v>930</v>
      </c>
      <c r="D222" s="15">
        <v>34600.0</v>
      </c>
      <c r="E222" s="18">
        <v>34600.0</v>
      </c>
      <c r="F222" s="44">
        <v>46281.0</v>
      </c>
      <c r="G222" s="13" t="s">
        <v>14</v>
      </c>
      <c r="H222" s="76" t="s">
        <v>17</v>
      </c>
      <c r="I222" s="21"/>
      <c r="J222" s="38"/>
    </row>
    <row r="223">
      <c r="A223" s="30">
        <v>46281.0</v>
      </c>
      <c r="B223" s="13" t="s">
        <v>38</v>
      </c>
      <c r="C223" s="13" t="s">
        <v>550</v>
      </c>
      <c r="D223" s="15">
        <v>1000.0</v>
      </c>
      <c r="E223" s="18">
        <v>1000.0</v>
      </c>
      <c r="F223" s="44">
        <v>46281.0</v>
      </c>
      <c r="G223" s="13" t="s">
        <v>14</v>
      </c>
      <c r="H223" s="76" t="s">
        <v>17</v>
      </c>
      <c r="I223" s="21"/>
      <c r="J223" s="38"/>
    </row>
    <row r="224">
      <c r="A224" s="30">
        <v>46281.0</v>
      </c>
      <c r="B224" s="13" t="s">
        <v>38</v>
      </c>
      <c r="C224" s="13" t="s">
        <v>553</v>
      </c>
      <c r="D224" s="15">
        <v>1000.0</v>
      </c>
      <c r="E224" s="18">
        <v>1000.0</v>
      </c>
      <c r="F224" s="44">
        <v>46281.0</v>
      </c>
      <c r="G224" s="13" t="s">
        <v>14</v>
      </c>
      <c r="H224" s="76" t="s">
        <v>17</v>
      </c>
      <c r="I224" s="21"/>
      <c r="J224" s="38"/>
    </row>
    <row r="225">
      <c r="A225" s="30">
        <v>46281.0</v>
      </c>
      <c r="B225" s="13" t="s">
        <v>364</v>
      </c>
      <c r="C225" s="13" t="s">
        <v>77</v>
      </c>
      <c r="D225" s="15">
        <v>4700.0</v>
      </c>
      <c r="E225" s="18">
        <v>4700.0</v>
      </c>
      <c r="F225" s="44">
        <v>46281.0</v>
      </c>
      <c r="G225" s="13" t="s">
        <v>14</v>
      </c>
      <c r="H225" s="76" t="s">
        <v>17</v>
      </c>
      <c r="I225" s="21"/>
      <c r="J225" s="38"/>
    </row>
    <row r="226">
      <c r="A226" s="30">
        <v>46281.0</v>
      </c>
      <c r="B226" s="13" t="s">
        <v>248</v>
      </c>
      <c r="C226" s="13" t="s">
        <v>937</v>
      </c>
      <c r="D226" s="15">
        <v>30.0</v>
      </c>
      <c r="E226" s="18">
        <v>30.0</v>
      </c>
      <c r="F226" s="44">
        <v>46281.0</v>
      </c>
      <c r="G226" s="13" t="s">
        <v>14</v>
      </c>
      <c r="H226" s="76" t="s">
        <v>17</v>
      </c>
      <c r="I226" s="21"/>
      <c r="J226" s="38"/>
    </row>
    <row r="227">
      <c r="A227" s="30">
        <v>46281.0</v>
      </c>
      <c r="B227" s="13" t="s">
        <v>101</v>
      </c>
      <c r="C227" s="81" t="s">
        <v>939</v>
      </c>
      <c r="D227" s="15">
        <v>3000.0</v>
      </c>
      <c r="E227" s="18">
        <v>3000.0</v>
      </c>
      <c r="F227" s="44">
        <v>46281.0</v>
      </c>
      <c r="G227" s="13" t="s">
        <v>14</v>
      </c>
      <c r="H227" s="76" t="s">
        <v>17</v>
      </c>
      <c r="I227" s="21"/>
      <c r="J227" s="38"/>
    </row>
    <row r="228">
      <c r="A228" s="30">
        <v>46281.0</v>
      </c>
      <c r="B228" s="13" t="s">
        <v>225</v>
      </c>
      <c r="C228" s="13" t="s">
        <v>940</v>
      </c>
      <c r="D228" s="15">
        <v>2800.0</v>
      </c>
      <c r="E228" s="18">
        <v>2800.0</v>
      </c>
      <c r="F228" s="44">
        <v>46281.0</v>
      </c>
      <c r="G228" s="13" t="s">
        <v>211</v>
      </c>
      <c r="H228" s="13" t="s">
        <v>56</v>
      </c>
      <c r="I228" s="21"/>
      <c r="J228" s="38"/>
    </row>
    <row r="229">
      <c r="A229" s="151">
        <v>46281.0</v>
      </c>
      <c r="B229" s="88" t="s">
        <v>217</v>
      </c>
      <c r="C229" s="88" t="s">
        <v>942</v>
      </c>
      <c r="D229" s="90">
        <v>7860.0</v>
      </c>
      <c r="E229" s="91">
        <v>7860.0</v>
      </c>
      <c r="F229" s="127">
        <v>46281.0</v>
      </c>
      <c r="G229" s="88" t="s">
        <v>211</v>
      </c>
      <c r="H229" s="88" t="s">
        <v>56</v>
      </c>
      <c r="I229" s="57"/>
      <c r="J229" s="64"/>
    </row>
    <row r="230">
      <c r="A230" s="10">
        <v>46282.0</v>
      </c>
      <c r="B230" s="12" t="s">
        <v>10</v>
      </c>
      <c r="C230" s="179" t="s">
        <v>449</v>
      </c>
      <c r="D230" s="96">
        <v>105.0</v>
      </c>
      <c r="E230" s="96">
        <v>105.0</v>
      </c>
      <c r="F230" s="10">
        <v>46282.0</v>
      </c>
      <c r="G230" s="95" t="s">
        <v>14</v>
      </c>
      <c r="H230" s="23" t="s">
        <v>17</v>
      </c>
      <c r="I230" s="25"/>
      <c r="J230" s="27"/>
    </row>
    <row r="231">
      <c r="A231" s="30">
        <v>46282.0</v>
      </c>
      <c r="B231" s="13" t="s">
        <v>25</v>
      </c>
      <c r="C231" s="163" t="s">
        <v>12</v>
      </c>
      <c r="D231" s="15">
        <v>70.0</v>
      </c>
      <c r="E231" s="15">
        <v>70.0</v>
      </c>
      <c r="F231" s="44">
        <v>46282.0</v>
      </c>
      <c r="G231" s="13" t="s">
        <v>14</v>
      </c>
      <c r="H231" s="76" t="s">
        <v>17</v>
      </c>
      <c r="I231" s="21"/>
      <c r="J231" s="38"/>
    </row>
    <row r="232">
      <c r="A232" s="162">
        <v>46282.0</v>
      </c>
      <c r="B232" s="13" t="s">
        <v>248</v>
      </c>
      <c r="C232" s="13" t="s">
        <v>943</v>
      </c>
      <c r="D232" s="15">
        <v>60.0</v>
      </c>
      <c r="E232" s="15">
        <v>30.0</v>
      </c>
      <c r="F232" s="44">
        <v>46282.0</v>
      </c>
      <c r="G232" s="13" t="s">
        <v>14</v>
      </c>
      <c r="H232" s="76" t="s">
        <v>17</v>
      </c>
      <c r="I232" s="21"/>
      <c r="J232" s="38"/>
    </row>
    <row r="233">
      <c r="A233" s="30">
        <v>46282.0</v>
      </c>
      <c r="B233" s="13" t="s">
        <v>50</v>
      </c>
      <c r="C233" s="13" t="s">
        <v>83</v>
      </c>
      <c r="D233" s="15">
        <v>100.0</v>
      </c>
      <c r="E233" s="15">
        <v>100.0</v>
      </c>
      <c r="F233" s="44">
        <v>46282.0</v>
      </c>
      <c r="G233" s="13" t="s">
        <v>14</v>
      </c>
      <c r="H233" s="76" t="s">
        <v>17</v>
      </c>
      <c r="I233" s="21"/>
      <c r="J233" s="38"/>
    </row>
    <row r="234">
      <c r="A234" s="162">
        <v>46282.0</v>
      </c>
      <c r="B234" s="13" t="s">
        <v>101</v>
      </c>
      <c r="C234" s="81" t="s">
        <v>944</v>
      </c>
      <c r="D234" s="15">
        <v>4000.0</v>
      </c>
      <c r="E234" s="15">
        <v>4000.0</v>
      </c>
      <c r="F234" s="44">
        <v>46282.0</v>
      </c>
      <c r="G234" s="13" t="s">
        <v>14</v>
      </c>
      <c r="H234" s="76" t="s">
        <v>17</v>
      </c>
      <c r="I234" s="21"/>
      <c r="J234" s="38"/>
    </row>
    <row r="235">
      <c r="A235" s="162">
        <v>46282.0</v>
      </c>
      <c r="B235" s="13" t="s">
        <v>38</v>
      </c>
      <c r="C235" s="13" t="s">
        <v>776</v>
      </c>
      <c r="D235" s="15">
        <v>1000.0</v>
      </c>
      <c r="E235" s="15">
        <v>1000.0</v>
      </c>
      <c r="F235" s="44">
        <v>46282.0</v>
      </c>
      <c r="G235" s="13" t="s">
        <v>14</v>
      </c>
      <c r="H235" s="76" t="s">
        <v>17</v>
      </c>
      <c r="I235" s="21"/>
      <c r="J235" s="38"/>
    </row>
    <row r="236">
      <c r="A236" s="30">
        <v>46282.0</v>
      </c>
      <c r="B236" s="13" t="s">
        <v>38</v>
      </c>
      <c r="C236" s="13" t="s">
        <v>550</v>
      </c>
      <c r="D236" s="15">
        <v>1000.0</v>
      </c>
      <c r="E236" s="15">
        <v>1000.0</v>
      </c>
      <c r="F236" s="44">
        <v>46282.0</v>
      </c>
      <c r="G236" s="13" t="s">
        <v>14</v>
      </c>
      <c r="H236" s="76" t="s">
        <v>17</v>
      </c>
      <c r="I236" s="21"/>
      <c r="J236" s="38"/>
    </row>
    <row r="237">
      <c r="A237" s="162">
        <v>46282.0</v>
      </c>
      <c r="B237" s="13" t="s">
        <v>38</v>
      </c>
      <c r="C237" s="13" t="s">
        <v>553</v>
      </c>
      <c r="D237" s="15">
        <v>1000.0</v>
      </c>
      <c r="E237" s="15">
        <v>1000.0</v>
      </c>
      <c r="F237" s="44">
        <v>46282.0</v>
      </c>
      <c r="G237" s="13" t="s">
        <v>14</v>
      </c>
      <c r="H237" s="76" t="s">
        <v>17</v>
      </c>
      <c r="I237" s="21"/>
      <c r="J237" s="38"/>
    </row>
    <row r="238">
      <c r="A238" s="30">
        <v>46282.0</v>
      </c>
      <c r="B238" s="13" t="s">
        <v>38</v>
      </c>
      <c r="C238" s="13" t="s">
        <v>482</v>
      </c>
      <c r="D238" s="15">
        <v>2000.0</v>
      </c>
      <c r="E238" s="15">
        <v>2000.0</v>
      </c>
      <c r="F238" s="44">
        <v>46282.0</v>
      </c>
      <c r="G238" s="13" t="s">
        <v>14</v>
      </c>
      <c r="H238" s="76" t="s">
        <v>17</v>
      </c>
      <c r="I238" s="21"/>
      <c r="J238" s="38"/>
    </row>
    <row r="239">
      <c r="A239" s="162">
        <v>46282.0</v>
      </c>
      <c r="B239" s="255" t="s">
        <v>945</v>
      </c>
      <c r="C239" s="255" t="s">
        <v>946</v>
      </c>
      <c r="D239" s="237">
        <v>42500.0</v>
      </c>
      <c r="E239" s="271"/>
      <c r="F239" s="234"/>
      <c r="G239" s="255"/>
      <c r="H239" s="255"/>
      <c r="I239" s="21"/>
      <c r="J239" s="38"/>
    </row>
    <row r="240">
      <c r="A240" s="30">
        <v>46282.0</v>
      </c>
      <c r="B240" s="13" t="s">
        <v>405</v>
      </c>
      <c r="C240" s="13" t="s">
        <v>947</v>
      </c>
      <c r="D240" s="15">
        <v>3100.0</v>
      </c>
      <c r="E240" s="18">
        <v>3100.0</v>
      </c>
      <c r="F240" s="44">
        <v>46283.0</v>
      </c>
      <c r="G240" s="13" t="s">
        <v>211</v>
      </c>
      <c r="H240" s="13" t="s">
        <v>59</v>
      </c>
      <c r="I240" s="21"/>
      <c r="J240" s="38"/>
    </row>
    <row r="241">
      <c r="A241" s="30">
        <v>46282.0</v>
      </c>
      <c r="B241" s="13" t="s">
        <v>225</v>
      </c>
      <c r="C241" s="13" t="s">
        <v>948</v>
      </c>
      <c r="D241" s="15">
        <v>5650.0</v>
      </c>
      <c r="E241" s="18">
        <v>5650.0</v>
      </c>
      <c r="F241" s="44">
        <v>46282.0</v>
      </c>
      <c r="G241" s="13" t="s">
        <v>211</v>
      </c>
      <c r="H241" s="13" t="s">
        <v>56</v>
      </c>
      <c r="I241" s="21"/>
      <c r="J241" s="38"/>
    </row>
    <row r="242">
      <c r="A242" s="124">
        <v>46282.0</v>
      </c>
      <c r="B242" s="7" t="s">
        <v>949</v>
      </c>
      <c r="C242" s="7" t="s">
        <v>950</v>
      </c>
      <c r="D242" s="281">
        <v>41250.0</v>
      </c>
      <c r="E242" s="125">
        <v>41250.0</v>
      </c>
      <c r="F242" s="145">
        <v>46286.0</v>
      </c>
      <c r="G242" s="7" t="s">
        <v>55</v>
      </c>
      <c r="H242" s="7" t="s">
        <v>42</v>
      </c>
      <c r="J242" s="128"/>
    </row>
    <row r="243">
      <c r="A243" s="218">
        <v>46283.0</v>
      </c>
      <c r="B243" s="12" t="s">
        <v>10</v>
      </c>
      <c r="C243" s="179" t="s">
        <v>681</v>
      </c>
      <c r="D243" s="96">
        <v>35.0</v>
      </c>
      <c r="E243" s="96">
        <v>35.0</v>
      </c>
      <c r="F243" s="219">
        <v>46283.0</v>
      </c>
      <c r="G243" s="95" t="s">
        <v>14</v>
      </c>
      <c r="H243" s="23" t="s">
        <v>17</v>
      </c>
      <c r="I243" s="220"/>
      <c r="J243" s="32"/>
    </row>
    <row r="244">
      <c r="A244" s="30">
        <v>46283.0</v>
      </c>
      <c r="B244" s="13" t="s">
        <v>25</v>
      </c>
      <c r="C244" s="163" t="s">
        <v>315</v>
      </c>
      <c r="D244" s="15">
        <v>140.0</v>
      </c>
      <c r="E244" s="15">
        <v>140.0</v>
      </c>
      <c r="F244" s="44">
        <v>46283.0</v>
      </c>
      <c r="G244" s="13" t="s">
        <v>14</v>
      </c>
      <c r="H244" s="76" t="s">
        <v>17</v>
      </c>
      <c r="I244" s="21"/>
      <c r="J244" s="38"/>
    </row>
    <row r="245">
      <c r="A245" s="30">
        <v>46283.0</v>
      </c>
      <c r="B245" s="13" t="s">
        <v>50</v>
      </c>
      <c r="C245" s="13" t="s">
        <v>250</v>
      </c>
      <c r="D245" s="15">
        <v>50.0</v>
      </c>
      <c r="E245" s="15">
        <v>50.0</v>
      </c>
      <c r="F245" s="44">
        <v>46283.0</v>
      </c>
      <c r="G245" s="13" t="s">
        <v>14</v>
      </c>
      <c r="H245" s="76" t="s">
        <v>17</v>
      </c>
      <c r="I245" s="21"/>
      <c r="J245" s="38"/>
    </row>
    <row r="246">
      <c r="A246" s="30">
        <v>46283.0</v>
      </c>
      <c r="B246" s="13" t="s">
        <v>275</v>
      </c>
      <c r="C246" s="13" t="s">
        <v>951</v>
      </c>
      <c r="D246" s="15">
        <v>570.0</v>
      </c>
      <c r="E246" s="15">
        <v>570.0</v>
      </c>
      <c r="F246" s="44">
        <v>46283.0</v>
      </c>
      <c r="G246" s="13" t="s">
        <v>14</v>
      </c>
      <c r="H246" s="76" t="s">
        <v>17</v>
      </c>
      <c r="I246" s="21"/>
      <c r="J246" s="38"/>
    </row>
    <row r="247">
      <c r="A247" s="30">
        <v>46283.0</v>
      </c>
      <c r="B247" s="13" t="s">
        <v>38</v>
      </c>
      <c r="C247" s="13" t="s">
        <v>550</v>
      </c>
      <c r="D247" s="15">
        <v>2800.0</v>
      </c>
      <c r="E247" s="15">
        <v>2800.0</v>
      </c>
      <c r="F247" s="44">
        <v>46283.0</v>
      </c>
      <c r="G247" s="13" t="s">
        <v>14</v>
      </c>
      <c r="H247" s="76" t="s">
        <v>17</v>
      </c>
      <c r="I247" s="21"/>
      <c r="J247" s="38"/>
    </row>
    <row r="248">
      <c r="A248" s="30">
        <v>46283.0</v>
      </c>
      <c r="B248" s="13" t="s">
        <v>38</v>
      </c>
      <c r="C248" s="13" t="s">
        <v>553</v>
      </c>
      <c r="D248" s="15">
        <v>1000.0</v>
      </c>
      <c r="E248" s="15">
        <v>1000.0</v>
      </c>
      <c r="F248" s="44">
        <v>46283.0</v>
      </c>
      <c r="G248" s="13" t="s">
        <v>14</v>
      </c>
      <c r="H248" s="76" t="s">
        <v>17</v>
      </c>
      <c r="I248" s="21"/>
      <c r="J248" s="38"/>
    </row>
    <row r="249">
      <c r="A249" s="30">
        <v>46283.0</v>
      </c>
      <c r="B249" s="13" t="s">
        <v>38</v>
      </c>
      <c r="C249" s="13" t="s">
        <v>482</v>
      </c>
      <c r="D249" s="15">
        <v>1000.0</v>
      </c>
      <c r="E249" s="15">
        <v>1000.0</v>
      </c>
      <c r="F249" s="44">
        <v>46283.0</v>
      </c>
      <c r="G249" s="13" t="s">
        <v>14</v>
      </c>
      <c r="H249" s="76" t="s">
        <v>17</v>
      </c>
      <c r="I249" s="21"/>
      <c r="J249" s="38"/>
    </row>
    <row r="250">
      <c r="A250" s="30">
        <v>46283.0</v>
      </c>
      <c r="B250" s="255" t="s">
        <v>43</v>
      </c>
      <c r="C250" s="255" t="s">
        <v>952</v>
      </c>
      <c r="D250" s="237">
        <v>42950.0</v>
      </c>
      <c r="E250" s="271"/>
      <c r="F250" s="279"/>
      <c r="G250" s="234"/>
      <c r="H250" s="234"/>
      <c r="I250" s="21"/>
      <c r="J250" s="38"/>
    </row>
    <row r="251">
      <c r="A251" s="30">
        <v>46283.0</v>
      </c>
      <c r="B251" s="13" t="s">
        <v>160</v>
      </c>
      <c r="C251" s="13" t="s">
        <v>953</v>
      </c>
      <c r="D251" s="15">
        <v>10250.0</v>
      </c>
      <c r="E251" s="18">
        <v>10250.0</v>
      </c>
      <c r="F251" s="44">
        <v>46285.0</v>
      </c>
      <c r="G251" s="13" t="s">
        <v>55</v>
      </c>
      <c r="H251" s="13" t="s">
        <v>56</v>
      </c>
      <c r="I251" s="21"/>
      <c r="J251" s="38"/>
    </row>
    <row r="252">
      <c r="A252" s="30">
        <v>46283.0</v>
      </c>
      <c r="B252" s="13" t="s">
        <v>225</v>
      </c>
      <c r="C252" s="13" t="s">
        <v>954</v>
      </c>
      <c r="D252" s="15">
        <v>5700.0</v>
      </c>
      <c r="E252" s="18">
        <v>5700.0</v>
      </c>
      <c r="F252" s="44">
        <v>46285.0</v>
      </c>
      <c r="G252" s="13" t="s">
        <v>211</v>
      </c>
      <c r="H252" s="13" t="s">
        <v>56</v>
      </c>
      <c r="I252" s="21"/>
      <c r="J252" s="38"/>
    </row>
    <row r="253">
      <c r="A253" s="30">
        <v>46283.0</v>
      </c>
      <c r="B253" s="13" t="s">
        <v>217</v>
      </c>
      <c r="C253" s="13" t="s">
        <v>955</v>
      </c>
      <c r="D253" s="15">
        <v>1100.0</v>
      </c>
      <c r="E253" s="18">
        <v>1100.0</v>
      </c>
      <c r="F253" s="44">
        <v>46283.0</v>
      </c>
      <c r="G253" s="13" t="s">
        <v>211</v>
      </c>
      <c r="H253" s="13" t="s">
        <v>56</v>
      </c>
      <c r="I253" s="13" t="s">
        <v>956</v>
      </c>
      <c r="J253" s="38"/>
    </row>
    <row r="254">
      <c r="A254" s="89">
        <v>46283.0</v>
      </c>
      <c r="B254" s="65" t="s">
        <v>217</v>
      </c>
      <c r="C254" s="65" t="s">
        <v>957</v>
      </c>
      <c r="D254" s="68">
        <v>1020.0</v>
      </c>
      <c r="E254" s="70">
        <v>1020.0</v>
      </c>
      <c r="F254" s="145">
        <v>46283.0</v>
      </c>
      <c r="G254" s="65" t="s">
        <v>211</v>
      </c>
      <c r="H254" s="65" t="s">
        <v>56</v>
      </c>
      <c r="I254" s="65" t="s">
        <v>956</v>
      </c>
      <c r="J254" s="73"/>
    </row>
    <row r="255">
      <c r="A255" s="10">
        <v>46284.0</v>
      </c>
      <c r="B255" s="12" t="s">
        <v>10</v>
      </c>
      <c r="C255" s="179" t="s">
        <v>681</v>
      </c>
      <c r="D255" s="96">
        <v>35.0</v>
      </c>
      <c r="E255" s="96">
        <v>35.0</v>
      </c>
      <c r="F255" s="10">
        <v>46284.0</v>
      </c>
      <c r="G255" s="95" t="s">
        <v>14</v>
      </c>
      <c r="H255" s="23" t="s">
        <v>17</v>
      </c>
      <c r="I255" s="25"/>
      <c r="J255" s="27"/>
    </row>
    <row r="256">
      <c r="A256" s="30">
        <v>46284.0</v>
      </c>
      <c r="B256" s="13" t="s">
        <v>25</v>
      </c>
      <c r="C256" s="163" t="s">
        <v>449</v>
      </c>
      <c r="D256" s="15">
        <v>105.0</v>
      </c>
      <c r="E256" s="15">
        <v>105.0</v>
      </c>
      <c r="F256" s="44">
        <v>46284.0</v>
      </c>
      <c r="G256" s="13" t="s">
        <v>14</v>
      </c>
      <c r="H256" s="76" t="s">
        <v>17</v>
      </c>
      <c r="I256" s="21"/>
      <c r="J256" s="38"/>
    </row>
    <row r="257">
      <c r="A257" s="30">
        <v>46284.0</v>
      </c>
      <c r="B257" s="13" t="s">
        <v>38</v>
      </c>
      <c r="C257" s="13" t="s">
        <v>553</v>
      </c>
      <c r="D257" s="15">
        <v>2600.0</v>
      </c>
      <c r="E257" s="15">
        <v>2600.0</v>
      </c>
      <c r="F257" s="44">
        <v>46284.0</v>
      </c>
      <c r="G257" s="13" t="s">
        <v>14</v>
      </c>
      <c r="H257" s="76" t="s">
        <v>17</v>
      </c>
      <c r="I257" s="21"/>
      <c r="J257" s="38"/>
    </row>
    <row r="258">
      <c r="A258" s="30">
        <v>46284.0</v>
      </c>
      <c r="B258" s="65" t="s">
        <v>38</v>
      </c>
      <c r="C258" s="65" t="s">
        <v>482</v>
      </c>
      <c r="D258" s="68">
        <v>1000.0</v>
      </c>
      <c r="E258" s="15">
        <v>1000.0</v>
      </c>
      <c r="F258" s="44">
        <v>46284.0</v>
      </c>
      <c r="G258" s="13" t="s">
        <v>14</v>
      </c>
      <c r="H258" s="76" t="s">
        <v>17</v>
      </c>
      <c r="I258" s="97"/>
      <c r="J258" s="73"/>
    </row>
    <row r="259">
      <c r="A259" s="30">
        <v>46284.0</v>
      </c>
      <c r="B259" s="13" t="s">
        <v>668</v>
      </c>
      <c r="C259" s="13" t="s">
        <v>958</v>
      </c>
      <c r="D259" s="15">
        <v>3010.0</v>
      </c>
      <c r="E259" s="15">
        <v>3010.0</v>
      </c>
      <c r="F259" s="44">
        <v>46284.0</v>
      </c>
      <c r="G259" s="13" t="s">
        <v>14</v>
      </c>
      <c r="H259" s="76" t="s">
        <v>17</v>
      </c>
      <c r="I259" s="21"/>
      <c r="J259" s="38"/>
    </row>
    <row r="260">
      <c r="A260" s="30">
        <v>46284.0</v>
      </c>
      <c r="B260" s="13" t="s">
        <v>207</v>
      </c>
      <c r="C260" s="13" t="s">
        <v>959</v>
      </c>
      <c r="D260" s="15">
        <v>127500.0</v>
      </c>
      <c r="E260" s="15">
        <v>127500.0</v>
      </c>
      <c r="F260" s="44">
        <v>46284.0</v>
      </c>
      <c r="G260" s="13" t="s">
        <v>960</v>
      </c>
      <c r="H260" s="13" t="s">
        <v>42</v>
      </c>
      <c r="I260" s="21"/>
      <c r="J260" s="38"/>
    </row>
    <row r="261">
      <c r="A261" s="30">
        <v>46284.0</v>
      </c>
      <c r="B261" s="13" t="s">
        <v>225</v>
      </c>
      <c r="C261" s="13" t="s">
        <v>961</v>
      </c>
      <c r="D261" s="15">
        <v>16950.0</v>
      </c>
      <c r="E261" s="18">
        <v>16950.0</v>
      </c>
      <c r="F261" s="44">
        <v>46284.0</v>
      </c>
      <c r="G261" s="13" t="s">
        <v>211</v>
      </c>
      <c r="H261" s="13" t="s">
        <v>56</v>
      </c>
      <c r="I261" s="21"/>
      <c r="J261" s="38"/>
    </row>
    <row r="262">
      <c r="A262" s="30">
        <v>46284.0</v>
      </c>
      <c r="B262" s="13" t="s">
        <v>52</v>
      </c>
      <c r="C262" s="13" t="s">
        <v>962</v>
      </c>
      <c r="D262" s="15">
        <v>10600.0</v>
      </c>
      <c r="E262" s="18">
        <v>10600.0</v>
      </c>
      <c r="F262" s="44">
        <v>46285.0</v>
      </c>
      <c r="G262" s="13" t="s">
        <v>36</v>
      </c>
      <c r="H262" s="13" t="s">
        <v>42</v>
      </c>
      <c r="I262" s="21"/>
      <c r="J262" s="38"/>
    </row>
    <row r="263">
      <c r="A263" s="30">
        <v>46284.0</v>
      </c>
      <c r="B263" s="13" t="s">
        <v>52</v>
      </c>
      <c r="C263" s="13" t="s">
        <v>963</v>
      </c>
      <c r="D263" s="15">
        <v>2280.0</v>
      </c>
      <c r="E263" s="18">
        <v>2280.0</v>
      </c>
      <c r="F263" s="44">
        <v>46285.0</v>
      </c>
      <c r="G263" s="13" t="s">
        <v>36</v>
      </c>
      <c r="H263" s="13" t="s">
        <v>42</v>
      </c>
      <c r="I263" s="21"/>
      <c r="J263" s="38"/>
    </row>
    <row r="264">
      <c r="A264" s="151">
        <v>46284.0</v>
      </c>
      <c r="B264" s="88" t="s">
        <v>288</v>
      </c>
      <c r="C264" s="88" t="s">
        <v>964</v>
      </c>
      <c r="D264" s="90">
        <v>32100.0</v>
      </c>
      <c r="E264" s="91">
        <v>32100.0</v>
      </c>
      <c r="F264" s="127">
        <v>46286.0</v>
      </c>
      <c r="G264" s="88" t="s">
        <v>55</v>
      </c>
      <c r="H264" s="88" t="s">
        <v>42</v>
      </c>
      <c r="I264" s="57"/>
      <c r="J264" s="64"/>
    </row>
    <row r="265">
      <c r="A265" s="102">
        <v>46285.0</v>
      </c>
      <c r="B265" s="12" t="s">
        <v>10</v>
      </c>
      <c r="C265" s="179" t="s">
        <v>449</v>
      </c>
      <c r="D265" s="96">
        <v>105.0</v>
      </c>
      <c r="E265" s="96">
        <v>105.0</v>
      </c>
      <c r="F265" s="102">
        <v>46285.0</v>
      </c>
      <c r="G265" s="95" t="s">
        <v>14</v>
      </c>
      <c r="H265" s="23" t="s">
        <v>17</v>
      </c>
      <c r="I265" s="107"/>
      <c r="J265" s="107"/>
    </row>
    <row r="266">
      <c r="A266" s="44">
        <v>46285.0</v>
      </c>
      <c r="B266" s="13" t="s">
        <v>25</v>
      </c>
      <c r="C266" s="163" t="s">
        <v>12</v>
      </c>
      <c r="D266" s="15">
        <v>70.0</v>
      </c>
      <c r="E266" s="15">
        <v>70.0</v>
      </c>
      <c r="F266" s="44">
        <v>46285.0</v>
      </c>
      <c r="G266" s="13" t="s">
        <v>14</v>
      </c>
      <c r="H266" s="76" t="s">
        <v>17</v>
      </c>
      <c r="I266" s="21"/>
      <c r="J266" s="21"/>
    </row>
    <row r="267">
      <c r="A267" s="44">
        <v>46285.0</v>
      </c>
      <c r="B267" s="13" t="s">
        <v>248</v>
      </c>
      <c r="C267" s="13" t="s">
        <v>965</v>
      </c>
      <c r="D267" s="15">
        <v>280.0</v>
      </c>
      <c r="E267" s="15">
        <v>280.0</v>
      </c>
      <c r="F267" s="44">
        <v>46285.0</v>
      </c>
      <c r="G267" s="13" t="s">
        <v>14</v>
      </c>
      <c r="H267" s="76" t="s">
        <v>17</v>
      </c>
      <c r="I267" s="21"/>
      <c r="J267" s="21"/>
    </row>
    <row r="268">
      <c r="A268" s="44">
        <v>46285.0</v>
      </c>
      <c r="B268" s="13" t="s">
        <v>966</v>
      </c>
      <c r="C268" s="13" t="s">
        <v>967</v>
      </c>
      <c r="D268" s="15">
        <v>725.0</v>
      </c>
      <c r="E268" s="15">
        <v>725.0</v>
      </c>
      <c r="F268" s="44">
        <v>46285.0</v>
      </c>
      <c r="G268" s="13" t="s">
        <v>14</v>
      </c>
      <c r="H268" s="76" t="s">
        <v>17</v>
      </c>
      <c r="I268" s="21"/>
      <c r="J268" s="21"/>
    </row>
    <row r="269">
      <c r="A269" s="44">
        <v>46285.0</v>
      </c>
      <c r="B269" s="13" t="s">
        <v>38</v>
      </c>
      <c r="C269" s="13" t="s">
        <v>482</v>
      </c>
      <c r="D269" s="15">
        <v>2000.0</v>
      </c>
      <c r="E269" s="15">
        <v>2000.0</v>
      </c>
      <c r="F269" s="44">
        <v>46285.0</v>
      </c>
      <c r="G269" s="13" t="s">
        <v>14</v>
      </c>
      <c r="H269" s="76" t="s">
        <v>17</v>
      </c>
      <c r="I269" s="21"/>
      <c r="J269" s="21"/>
    </row>
    <row r="270">
      <c r="A270" s="44">
        <v>46285.0</v>
      </c>
      <c r="B270" s="13" t="s">
        <v>101</v>
      </c>
      <c r="C270" s="81" t="s">
        <v>911</v>
      </c>
      <c r="D270" s="15">
        <v>1000.0</v>
      </c>
      <c r="E270" s="15">
        <v>1000.0</v>
      </c>
      <c r="F270" s="44">
        <v>46285.0</v>
      </c>
      <c r="G270" s="13" t="s">
        <v>14</v>
      </c>
      <c r="H270" s="76" t="s">
        <v>17</v>
      </c>
      <c r="I270" s="21"/>
      <c r="J270" s="21"/>
    </row>
    <row r="271">
      <c r="A271" s="44">
        <v>46285.0</v>
      </c>
      <c r="B271" s="13" t="s">
        <v>101</v>
      </c>
      <c r="C271" s="81" t="s">
        <v>756</v>
      </c>
      <c r="D271" s="15">
        <v>2000.0</v>
      </c>
      <c r="E271" s="15">
        <v>2000.0</v>
      </c>
      <c r="F271" s="44">
        <v>46285.0</v>
      </c>
      <c r="G271" s="13" t="s">
        <v>14</v>
      </c>
      <c r="H271" s="76" t="s">
        <v>17</v>
      </c>
      <c r="I271" s="21"/>
      <c r="J271" s="21"/>
    </row>
    <row r="272">
      <c r="A272" s="44">
        <v>46285.0</v>
      </c>
      <c r="B272" s="13" t="s">
        <v>217</v>
      </c>
      <c r="C272" s="13" t="s">
        <v>968</v>
      </c>
      <c r="D272" s="15">
        <v>1761.0</v>
      </c>
      <c r="E272" s="18">
        <v>1761.0</v>
      </c>
      <c r="F272" s="44">
        <v>46285.0</v>
      </c>
      <c r="G272" s="13" t="s">
        <v>211</v>
      </c>
      <c r="H272" s="13" t="s">
        <v>56</v>
      </c>
      <c r="I272" s="21"/>
      <c r="J272" s="21"/>
    </row>
    <row r="273">
      <c r="A273" s="44">
        <v>46285.0</v>
      </c>
      <c r="B273" s="65" t="s">
        <v>217</v>
      </c>
      <c r="C273" s="13" t="s">
        <v>969</v>
      </c>
      <c r="D273" s="15">
        <v>1560.0</v>
      </c>
      <c r="E273" s="18">
        <v>1560.0</v>
      </c>
      <c r="F273" s="44">
        <v>46286.0</v>
      </c>
      <c r="G273" s="13" t="s">
        <v>211</v>
      </c>
      <c r="H273" s="13" t="s">
        <v>56</v>
      </c>
      <c r="I273" s="21"/>
      <c r="J273" s="21"/>
    </row>
    <row r="274">
      <c r="A274" s="44">
        <v>46285.0</v>
      </c>
      <c r="B274" s="13" t="s">
        <v>364</v>
      </c>
      <c r="C274" s="13" t="s">
        <v>903</v>
      </c>
      <c r="D274" s="15">
        <v>4500.0</v>
      </c>
      <c r="E274" s="18">
        <v>4500.0</v>
      </c>
      <c r="F274" s="44">
        <v>46286.0</v>
      </c>
      <c r="G274" s="13" t="s">
        <v>14</v>
      </c>
      <c r="H274" s="76" t="s">
        <v>17</v>
      </c>
      <c r="I274" s="21"/>
      <c r="J274" s="21"/>
    </row>
    <row r="275">
      <c r="A275" s="44">
        <v>46285.0</v>
      </c>
      <c r="B275" s="13" t="s">
        <v>405</v>
      </c>
      <c r="C275" s="13" t="s">
        <v>884</v>
      </c>
      <c r="D275" s="15">
        <v>3100.0</v>
      </c>
      <c r="E275" s="18">
        <v>3100.0</v>
      </c>
      <c r="F275" s="44">
        <v>46287.0</v>
      </c>
      <c r="G275" s="13" t="s">
        <v>211</v>
      </c>
      <c r="H275" s="13" t="s">
        <v>56</v>
      </c>
      <c r="I275" s="21"/>
      <c r="J275" s="21"/>
    </row>
    <row r="276">
      <c r="A276" s="127">
        <v>46285.0</v>
      </c>
      <c r="B276" s="282" t="s">
        <v>945</v>
      </c>
      <c r="C276" s="282" t="s">
        <v>970</v>
      </c>
      <c r="D276" s="283">
        <v>38100.0</v>
      </c>
      <c r="E276" s="284"/>
      <c r="F276" s="285"/>
      <c r="G276" s="285"/>
      <c r="H276" s="285"/>
      <c r="I276" s="57"/>
      <c r="J276" s="57"/>
    </row>
    <row r="277">
      <c r="A277" s="102">
        <v>46286.0</v>
      </c>
      <c r="B277" s="12" t="s">
        <v>10</v>
      </c>
      <c r="C277" s="179" t="s">
        <v>315</v>
      </c>
      <c r="D277" s="96">
        <v>140.0</v>
      </c>
      <c r="E277" s="96">
        <v>140.0</v>
      </c>
      <c r="F277" s="44">
        <v>46286.0</v>
      </c>
      <c r="G277" s="95" t="s">
        <v>14</v>
      </c>
      <c r="H277" s="23" t="s">
        <v>17</v>
      </c>
      <c r="I277" s="107"/>
      <c r="J277" s="107"/>
    </row>
    <row r="278">
      <c r="A278" s="44">
        <v>46286.0</v>
      </c>
      <c r="B278" s="13" t="s">
        <v>25</v>
      </c>
      <c r="C278" s="163" t="s">
        <v>971</v>
      </c>
      <c r="D278" s="15">
        <v>105.0</v>
      </c>
      <c r="E278" s="15">
        <v>105.0</v>
      </c>
      <c r="F278" s="44">
        <v>46286.0</v>
      </c>
      <c r="G278" s="13" t="s">
        <v>14</v>
      </c>
      <c r="H278" s="76" t="s">
        <v>17</v>
      </c>
      <c r="I278" s="21"/>
      <c r="J278" s="21"/>
    </row>
    <row r="279">
      <c r="A279" s="44">
        <v>46286.0</v>
      </c>
      <c r="B279" s="21"/>
      <c r="C279" s="13" t="s">
        <v>866</v>
      </c>
      <c r="D279" s="15">
        <v>400.0</v>
      </c>
      <c r="E279" s="15">
        <v>400.0</v>
      </c>
      <c r="F279" s="44">
        <v>46286.0</v>
      </c>
      <c r="G279" s="13" t="s">
        <v>14</v>
      </c>
      <c r="H279" s="76" t="s">
        <v>17</v>
      </c>
      <c r="I279" s="21"/>
      <c r="J279" s="21"/>
    </row>
    <row r="280">
      <c r="A280" s="44">
        <v>46286.0</v>
      </c>
      <c r="B280" s="13" t="s">
        <v>101</v>
      </c>
      <c r="C280" s="81" t="s">
        <v>893</v>
      </c>
      <c r="D280" s="15">
        <v>1000.0</v>
      </c>
      <c r="E280" s="15">
        <v>1000.0</v>
      </c>
      <c r="F280" s="44">
        <v>46286.0</v>
      </c>
      <c r="G280" s="13" t="s">
        <v>14</v>
      </c>
      <c r="H280" s="76" t="s">
        <v>17</v>
      </c>
      <c r="I280" s="21"/>
      <c r="J280" s="21"/>
    </row>
    <row r="281">
      <c r="A281" s="44">
        <v>46286.0</v>
      </c>
      <c r="B281" s="13" t="s">
        <v>38</v>
      </c>
      <c r="C281" s="13" t="s">
        <v>550</v>
      </c>
      <c r="D281" s="15">
        <v>2910.0</v>
      </c>
      <c r="E281" s="15">
        <v>2910.0</v>
      </c>
      <c r="F281" s="44">
        <v>46286.0</v>
      </c>
      <c r="G281" s="13" t="s">
        <v>14</v>
      </c>
      <c r="H281" s="76" t="s">
        <v>17</v>
      </c>
      <c r="I281" s="21"/>
      <c r="J281" s="21"/>
    </row>
    <row r="282">
      <c r="A282" s="44">
        <v>46286.0</v>
      </c>
      <c r="B282" s="13" t="s">
        <v>38</v>
      </c>
      <c r="C282" s="13" t="s">
        <v>972</v>
      </c>
      <c r="D282" s="15">
        <v>2100.0</v>
      </c>
      <c r="E282" s="15">
        <v>2100.0</v>
      </c>
      <c r="F282" s="44">
        <v>46286.0</v>
      </c>
      <c r="G282" s="13" t="s">
        <v>14</v>
      </c>
      <c r="H282" s="76" t="s">
        <v>17</v>
      </c>
      <c r="I282" s="21"/>
      <c r="J282" s="21"/>
    </row>
    <row r="283">
      <c r="A283" s="44">
        <v>46286.0</v>
      </c>
      <c r="B283" s="13" t="s">
        <v>364</v>
      </c>
      <c r="C283" s="13" t="s">
        <v>903</v>
      </c>
      <c r="D283" s="15">
        <v>4500.0</v>
      </c>
      <c r="E283" s="18">
        <v>4500.0</v>
      </c>
      <c r="F283" s="44">
        <v>46286.0</v>
      </c>
      <c r="G283" s="13" t="s">
        <v>14</v>
      </c>
      <c r="H283" s="76" t="s">
        <v>17</v>
      </c>
      <c r="I283" s="21"/>
      <c r="J283" s="21"/>
    </row>
    <row r="284">
      <c r="A284" s="44">
        <v>46286.0</v>
      </c>
      <c r="B284" s="13" t="s">
        <v>973</v>
      </c>
      <c r="C284" s="13" t="s">
        <v>974</v>
      </c>
      <c r="D284" s="15">
        <v>4748.0</v>
      </c>
      <c r="E284" s="18">
        <v>4748.0</v>
      </c>
      <c r="F284" s="44">
        <v>46286.0</v>
      </c>
      <c r="G284" s="13" t="s">
        <v>14</v>
      </c>
      <c r="H284" s="76" t="s">
        <v>17</v>
      </c>
      <c r="I284" s="21"/>
      <c r="J284" s="21"/>
    </row>
    <row r="285">
      <c r="A285" s="44">
        <v>46286.0</v>
      </c>
      <c r="B285" s="255" t="s">
        <v>63</v>
      </c>
      <c r="C285" s="255" t="s">
        <v>975</v>
      </c>
      <c r="D285" s="237">
        <v>34300.0</v>
      </c>
      <c r="E285" s="278"/>
      <c r="F285" s="279"/>
      <c r="G285" s="255"/>
      <c r="H285" s="255"/>
      <c r="I285" s="21"/>
      <c r="J285" s="21"/>
    </row>
    <row r="286">
      <c r="A286" s="44">
        <v>46286.0</v>
      </c>
      <c r="B286" s="13" t="s">
        <v>225</v>
      </c>
      <c r="C286" s="13" t="s">
        <v>976</v>
      </c>
      <c r="D286" s="15">
        <v>7940.0</v>
      </c>
      <c r="E286" s="18">
        <v>7940.0</v>
      </c>
      <c r="F286" s="44">
        <v>46287.0</v>
      </c>
      <c r="G286" s="13" t="s">
        <v>211</v>
      </c>
      <c r="H286" s="13" t="s">
        <v>56</v>
      </c>
      <c r="I286" s="21"/>
      <c r="J286" s="21"/>
    </row>
    <row r="287">
      <c r="A287" s="145">
        <v>46286.0</v>
      </c>
      <c r="B287" s="286" t="s">
        <v>945</v>
      </c>
      <c r="C287" s="286" t="s">
        <v>977</v>
      </c>
      <c r="D287" s="287">
        <v>49750.0</v>
      </c>
      <c r="E287" s="288"/>
      <c r="F287" s="289"/>
      <c r="G287" s="289"/>
      <c r="H287" s="289"/>
      <c r="I287" s="21"/>
      <c r="J287" s="21"/>
    </row>
    <row r="288">
      <c r="A288" s="290">
        <v>46287.0</v>
      </c>
      <c r="B288" s="291" t="s">
        <v>10</v>
      </c>
      <c r="C288" s="292" t="s">
        <v>971</v>
      </c>
      <c r="D288" s="293">
        <v>105.0</v>
      </c>
      <c r="E288" s="294"/>
      <c r="F288" s="295"/>
      <c r="G288" s="295"/>
      <c r="H288" s="296"/>
    </row>
    <row r="289">
      <c r="A289" s="44">
        <v>46287.0</v>
      </c>
      <c r="B289" s="13" t="s">
        <v>25</v>
      </c>
      <c r="C289" s="292" t="s">
        <v>971</v>
      </c>
      <c r="D289" s="15">
        <v>105.0</v>
      </c>
      <c r="E289" s="49"/>
      <c r="F289" s="21"/>
      <c r="G289" s="21"/>
      <c r="H289" s="21"/>
      <c r="J289" s="231"/>
    </row>
    <row r="290">
      <c r="A290" s="44">
        <v>46287.0</v>
      </c>
      <c r="B290" s="13" t="s">
        <v>38</v>
      </c>
      <c r="C290" s="13" t="s">
        <v>978</v>
      </c>
      <c r="D290" s="15">
        <v>2500.0</v>
      </c>
      <c r="E290" s="49"/>
      <c r="F290" s="21"/>
      <c r="G290" s="21"/>
      <c r="H290" s="21"/>
    </row>
    <row r="291">
      <c r="A291" s="44">
        <v>46287.0</v>
      </c>
      <c r="B291" s="13" t="s">
        <v>248</v>
      </c>
      <c r="C291" s="13" t="s">
        <v>979</v>
      </c>
      <c r="D291" s="15">
        <v>180.0</v>
      </c>
      <c r="E291" s="49"/>
      <c r="F291" s="21"/>
      <c r="G291" s="21"/>
      <c r="H291" s="21"/>
    </row>
    <row r="292">
      <c r="A292" s="44">
        <v>46287.0</v>
      </c>
      <c r="B292" s="255" t="s">
        <v>217</v>
      </c>
      <c r="C292" s="255" t="s">
        <v>980</v>
      </c>
      <c r="D292" s="237">
        <v>15156.0</v>
      </c>
      <c r="E292" s="271"/>
      <c r="F292" s="234"/>
      <c r="G292" s="234"/>
      <c r="H292" s="234"/>
    </row>
    <row r="293">
      <c r="A293" s="44">
        <v>46287.0</v>
      </c>
      <c r="B293" s="255" t="s">
        <v>290</v>
      </c>
      <c r="C293" s="255" t="s">
        <v>981</v>
      </c>
      <c r="D293" s="237">
        <v>10143.9</v>
      </c>
      <c r="E293" s="271"/>
      <c r="F293" s="234"/>
      <c r="G293" s="234"/>
      <c r="H293" s="234"/>
    </row>
    <row r="294">
      <c r="A294" s="44">
        <v>46287.0</v>
      </c>
      <c r="B294" s="255" t="s">
        <v>225</v>
      </c>
      <c r="C294" s="255" t="s">
        <v>982</v>
      </c>
      <c r="D294" s="237">
        <v>9040.0</v>
      </c>
      <c r="E294" s="271"/>
      <c r="F294" s="234"/>
      <c r="G294" s="234"/>
      <c r="H294" s="234"/>
    </row>
    <row r="295">
      <c r="A295" s="21"/>
      <c r="B295" s="21"/>
      <c r="C295" s="21"/>
      <c r="D295" s="268"/>
      <c r="E295" s="49"/>
      <c r="F295" s="21"/>
      <c r="G295" s="21"/>
      <c r="H295" s="21"/>
    </row>
    <row r="296">
      <c r="A296" s="21"/>
      <c r="B296" s="21"/>
      <c r="C296" s="21"/>
      <c r="D296" s="268"/>
      <c r="E296" s="49"/>
      <c r="F296" s="21"/>
      <c r="G296" s="21"/>
      <c r="H296" s="21"/>
    </row>
    <row r="297">
      <c r="A297" s="21"/>
      <c r="B297" s="21"/>
      <c r="C297" s="21"/>
      <c r="D297" s="268"/>
      <c r="E297" s="49"/>
      <c r="F297" s="21"/>
      <c r="G297" s="21"/>
      <c r="H297" s="21"/>
    </row>
    <row r="298">
      <c r="A298" s="297"/>
      <c r="B298" s="298"/>
      <c r="C298" s="298"/>
      <c r="D298" s="299"/>
      <c r="E298" s="300"/>
      <c r="F298" s="298"/>
      <c r="G298" s="298"/>
      <c r="H298" s="301"/>
    </row>
    <row r="299">
      <c r="D299" s="103"/>
      <c r="E299" s="74"/>
    </row>
    <row r="300">
      <c r="D300" s="103"/>
      <c r="E300" s="74"/>
    </row>
    <row r="301">
      <c r="D301" s="103"/>
      <c r="E301" s="74"/>
    </row>
    <row r="302">
      <c r="D302" s="103"/>
      <c r="E302" s="74"/>
    </row>
    <row r="303">
      <c r="D303" s="103"/>
      <c r="E303" s="74"/>
    </row>
    <row r="304">
      <c r="D304" s="103"/>
      <c r="E304" s="74"/>
    </row>
    <row r="305">
      <c r="D305" s="103"/>
      <c r="E305" s="74"/>
    </row>
    <row r="306">
      <c r="D306" s="103"/>
      <c r="E306" s="74"/>
    </row>
    <row r="307">
      <c r="D307" s="103"/>
      <c r="E307" s="74"/>
    </row>
    <row r="308">
      <c r="D308" s="103"/>
      <c r="E308" s="74"/>
    </row>
    <row r="309">
      <c r="D309" s="103"/>
      <c r="E309" s="74"/>
    </row>
    <row r="310">
      <c r="D310" s="103"/>
      <c r="E310" s="74"/>
    </row>
    <row r="311">
      <c r="D311" s="103"/>
      <c r="E311" s="74"/>
    </row>
    <row r="312">
      <c r="D312" s="103"/>
      <c r="E312" s="74"/>
    </row>
    <row r="313">
      <c r="D313" s="103"/>
      <c r="E313" s="74"/>
    </row>
    <row r="314">
      <c r="D314" s="103"/>
      <c r="E314" s="74"/>
    </row>
    <row r="315">
      <c r="D315" s="103"/>
      <c r="E315" s="74"/>
    </row>
    <row r="316">
      <c r="D316" s="103"/>
      <c r="E316" s="74"/>
    </row>
    <row r="317">
      <c r="D317" s="103"/>
      <c r="E317" s="74"/>
    </row>
    <row r="318">
      <c r="D318" s="103"/>
      <c r="E318" s="74"/>
    </row>
    <row r="319">
      <c r="D319" s="103"/>
      <c r="E319" s="74"/>
    </row>
    <row r="320">
      <c r="D320" s="103"/>
      <c r="E320" s="74"/>
    </row>
    <row r="321">
      <c r="D321" s="103"/>
      <c r="E321" s="74"/>
    </row>
    <row r="322">
      <c r="D322" s="103"/>
      <c r="E322" s="74"/>
    </row>
    <row r="323">
      <c r="D323" s="103"/>
      <c r="E323" s="74"/>
    </row>
    <row r="324">
      <c r="D324" s="103"/>
      <c r="E324" s="74"/>
    </row>
    <row r="325">
      <c r="D325" s="103"/>
      <c r="E325" s="74"/>
    </row>
    <row r="326">
      <c r="D326" s="103"/>
      <c r="E326" s="74"/>
    </row>
    <row r="327">
      <c r="D327" s="103"/>
      <c r="E327" s="74"/>
    </row>
    <row r="328">
      <c r="D328" s="103"/>
      <c r="E328" s="74"/>
    </row>
    <row r="329">
      <c r="D329" s="103"/>
      <c r="E329" s="74"/>
    </row>
    <row r="330">
      <c r="D330" s="103"/>
      <c r="E330" s="74"/>
    </row>
    <row r="331">
      <c r="D331" s="103"/>
      <c r="E331" s="74"/>
    </row>
    <row r="332">
      <c r="D332" s="103"/>
      <c r="E332" s="74"/>
    </row>
    <row r="333">
      <c r="D333" s="103"/>
      <c r="E333" s="74"/>
    </row>
    <row r="334">
      <c r="D334" s="103"/>
      <c r="E334" s="74"/>
    </row>
    <row r="335">
      <c r="D335" s="103"/>
      <c r="E335" s="74"/>
    </row>
    <row r="336">
      <c r="D336" s="103"/>
      <c r="E336" s="74"/>
    </row>
    <row r="337">
      <c r="D337" s="103"/>
      <c r="E337" s="74"/>
    </row>
    <row r="338">
      <c r="D338" s="103"/>
      <c r="E338" s="74"/>
    </row>
    <row r="339">
      <c r="D339" s="103"/>
      <c r="E339" s="74"/>
    </row>
    <row r="340">
      <c r="D340" s="103"/>
      <c r="E340" s="74"/>
    </row>
    <row r="341">
      <c r="D341" s="103"/>
      <c r="E341" s="74"/>
    </row>
    <row r="342">
      <c r="D342" s="103"/>
      <c r="E342" s="74"/>
    </row>
    <row r="343">
      <c r="D343" s="103"/>
      <c r="E343" s="74"/>
    </row>
    <row r="344">
      <c r="D344" s="103"/>
      <c r="E344" s="74"/>
    </row>
    <row r="345">
      <c r="D345" s="103"/>
      <c r="E345" s="74"/>
    </row>
    <row r="346">
      <c r="D346" s="103"/>
      <c r="E346" s="74"/>
    </row>
    <row r="347">
      <c r="D347" s="103"/>
      <c r="E347" s="74"/>
    </row>
    <row r="348">
      <c r="D348" s="103"/>
      <c r="E348" s="74"/>
    </row>
    <row r="349">
      <c r="D349" s="103"/>
      <c r="E349" s="74"/>
    </row>
    <row r="350">
      <c r="D350" s="103"/>
      <c r="E350" s="74"/>
    </row>
    <row r="351">
      <c r="D351" s="103"/>
      <c r="E351" s="74"/>
    </row>
    <row r="352">
      <c r="D352" s="103"/>
      <c r="E352" s="74"/>
    </row>
    <row r="353">
      <c r="D353" s="103"/>
      <c r="E353" s="74"/>
    </row>
    <row r="354">
      <c r="D354" s="103"/>
      <c r="E354" s="74"/>
    </row>
    <row r="355">
      <c r="D355" s="103"/>
      <c r="E355" s="74"/>
    </row>
    <row r="356">
      <c r="D356" s="103"/>
      <c r="E356" s="74"/>
    </row>
    <row r="357">
      <c r="D357" s="103"/>
      <c r="E357" s="74"/>
    </row>
    <row r="358">
      <c r="D358" s="103"/>
      <c r="E358" s="74"/>
    </row>
    <row r="359">
      <c r="D359" s="103"/>
      <c r="E359" s="74"/>
    </row>
    <row r="360">
      <c r="D360" s="103"/>
      <c r="E360" s="74"/>
    </row>
    <row r="361">
      <c r="D361" s="103"/>
      <c r="E361" s="74"/>
    </row>
    <row r="362">
      <c r="D362" s="103"/>
      <c r="E362" s="74"/>
    </row>
    <row r="363">
      <c r="D363" s="103"/>
      <c r="E363" s="74"/>
    </row>
    <row r="364">
      <c r="D364" s="103"/>
      <c r="E364" s="74"/>
    </row>
    <row r="365">
      <c r="D365" s="103"/>
      <c r="E365" s="74"/>
    </row>
    <row r="366">
      <c r="D366" s="103"/>
      <c r="E366" s="74"/>
    </row>
    <row r="367">
      <c r="D367" s="103"/>
      <c r="E367" s="74"/>
    </row>
    <row r="368">
      <c r="D368" s="103"/>
      <c r="E368" s="74"/>
    </row>
    <row r="369">
      <c r="D369" s="103"/>
      <c r="E369" s="74"/>
    </row>
    <row r="370">
      <c r="D370" s="103"/>
      <c r="E370" s="74"/>
    </row>
    <row r="371">
      <c r="D371" s="103"/>
      <c r="E371" s="74"/>
    </row>
    <row r="372">
      <c r="D372" s="103"/>
      <c r="E372" s="74"/>
    </row>
    <row r="373">
      <c r="D373" s="103"/>
      <c r="E373" s="74"/>
    </row>
    <row r="374">
      <c r="D374" s="103"/>
      <c r="E374" s="74"/>
    </row>
    <row r="375">
      <c r="D375" s="103"/>
      <c r="E375" s="74"/>
    </row>
    <row r="376">
      <c r="D376" s="103"/>
      <c r="E376" s="74"/>
    </row>
    <row r="377">
      <c r="D377" s="103"/>
      <c r="E377" s="74"/>
    </row>
    <row r="378">
      <c r="D378" s="103"/>
      <c r="E378" s="74"/>
    </row>
    <row r="379">
      <c r="D379" s="103"/>
      <c r="E379" s="74"/>
    </row>
    <row r="380">
      <c r="D380" s="103"/>
      <c r="E380" s="74"/>
    </row>
    <row r="381">
      <c r="D381" s="103"/>
      <c r="E381" s="74"/>
    </row>
    <row r="382">
      <c r="D382" s="103"/>
      <c r="E382" s="74"/>
    </row>
    <row r="383">
      <c r="D383" s="103"/>
      <c r="E383" s="74"/>
    </row>
    <row r="384">
      <c r="D384" s="103"/>
      <c r="E384" s="74"/>
    </row>
    <row r="385">
      <c r="D385" s="103"/>
      <c r="E385" s="74"/>
    </row>
    <row r="386">
      <c r="D386" s="103"/>
      <c r="E386" s="74"/>
    </row>
    <row r="387">
      <c r="D387" s="103"/>
      <c r="E387" s="74"/>
    </row>
    <row r="388">
      <c r="D388" s="103"/>
      <c r="E388" s="74"/>
    </row>
    <row r="389">
      <c r="D389" s="103"/>
      <c r="E389" s="74"/>
    </row>
    <row r="390">
      <c r="D390" s="103"/>
      <c r="E390" s="74"/>
    </row>
    <row r="391">
      <c r="D391" s="103"/>
      <c r="E391" s="74"/>
    </row>
    <row r="392">
      <c r="D392" s="103"/>
      <c r="E392" s="74"/>
    </row>
    <row r="393">
      <c r="D393" s="103"/>
      <c r="E393" s="74"/>
    </row>
    <row r="394">
      <c r="D394" s="103"/>
      <c r="E394" s="74"/>
    </row>
    <row r="395">
      <c r="D395" s="103"/>
      <c r="E395" s="74"/>
    </row>
    <row r="396">
      <c r="D396" s="103"/>
      <c r="E396" s="74"/>
    </row>
    <row r="397">
      <c r="D397" s="103"/>
      <c r="E397" s="74"/>
    </row>
    <row r="398">
      <c r="D398" s="103"/>
      <c r="E398" s="74"/>
    </row>
    <row r="399">
      <c r="D399" s="103"/>
      <c r="E399" s="74"/>
    </row>
    <row r="400">
      <c r="D400" s="103"/>
      <c r="E400" s="74"/>
    </row>
    <row r="401">
      <c r="D401" s="103"/>
      <c r="E401" s="74"/>
    </row>
    <row r="402">
      <c r="D402" s="103"/>
      <c r="E402" s="74"/>
    </row>
    <row r="403">
      <c r="D403" s="103"/>
      <c r="E403" s="74"/>
    </row>
    <row r="404">
      <c r="D404" s="103"/>
      <c r="E404" s="74"/>
    </row>
    <row r="405">
      <c r="D405" s="103"/>
      <c r="E405" s="74"/>
    </row>
    <row r="406">
      <c r="D406" s="103"/>
      <c r="E406" s="74"/>
    </row>
    <row r="407">
      <c r="D407" s="103"/>
      <c r="E407" s="74"/>
    </row>
    <row r="408">
      <c r="D408" s="103"/>
      <c r="E408" s="74"/>
    </row>
    <row r="409">
      <c r="D409" s="103"/>
      <c r="E409" s="74"/>
    </row>
    <row r="410">
      <c r="D410" s="103"/>
      <c r="E410" s="74"/>
    </row>
    <row r="411">
      <c r="D411" s="103"/>
      <c r="E411" s="74"/>
    </row>
    <row r="412">
      <c r="D412" s="103"/>
      <c r="E412" s="74"/>
    </row>
    <row r="413">
      <c r="D413" s="103"/>
      <c r="E413" s="74"/>
    </row>
    <row r="414">
      <c r="D414" s="103"/>
      <c r="E414" s="74"/>
    </row>
    <row r="415">
      <c r="D415" s="103"/>
      <c r="E415" s="74"/>
    </row>
    <row r="416">
      <c r="D416" s="103"/>
      <c r="E416" s="74"/>
    </row>
    <row r="417">
      <c r="D417" s="103"/>
      <c r="E417" s="74"/>
    </row>
    <row r="418">
      <c r="D418" s="103"/>
      <c r="E418" s="74"/>
    </row>
    <row r="419">
      <c r="D419" s="103"/>
      <c r="E419" s="74"/>
    </row>
    <row r="420">
      <c r="D420" s="103"/>
      <c r="E420" s="74"/>
    </row>
    <row r="421">
      <c r="D421" s="103"/>
      <c r="E421" s="74"/>
    </row>
    <row r="422">
      <c r="D422" s="103"/>
      <c r="E422" s="74"/>
    </row>
    <row r="423">
      <c r="D423" s="103"/>
      <c r="E423" s="74"/>
    </row>
    <row r="424">
      <c r="D424" s="103"/>
      <c r="E424" s="74"/>
    </row>
    <row r="425">
      <c r="D425" s="103"/>
      <c r="E425" s="74"/>
    </row>
    <row r="426">
      <c r="D426" s="103"/>
      <c r="E426" s="74"/>
    </row>
    <row r="427">
      <c r="D427" s="103"/>
      <c r="E427" s="74"/>
    </row>
    <row r="428">
      <c r="D428" s="103"/>
      <c r="E428" s="74"/>
    </row>
    <row r="429">
      <c r="D429" s="103"/>
      <c r="E429" s="74"/>
    </row>
    <row r="430">
      <c r="D430" s="103"/>
      <c r="E430" s="74"/>
    </row>
    <row r="431">
      <c r="D431" s="103"/>
      <c r="E431" s="74"/>
    </row>
    <row r="432">
      <c r="D432" s="103"/>
      <c r="E432" s="74"/>
    </row>
    <row r="433">
      <c r="D433" s="103"/>
      <c r="E433" s="74"/>
    </row>
    <row r="434">
      <c r="D434" s="103"/>
      <c r="E434" s="74"/>
    </row>
    <row r="435">
      <c r="D435" s="103"/>
      <c r="E435" s="74"/>
    </row>
    <row r="436">
      <c r="D436" s="103"/>
      <c r="E436" s="74"/>
    </row>
    <row r="437">
      <c r="D437" s="103"/>
      <c r="E437" s="74"/>
    </row>
    <row r="438">
      <c r="D438" s="103"/>
      <c r="E438" s="74"/>
    </row>
    <row r="439">
      <c r="D439" s="103"/>
      <c r="E439" s="74"/>
    </row>
    <row r="440">
      <c r="D440" s="103"/>
      <c r="E440" s="74"/>
    </row>
    <row r="441">
      <c r="D441" s="103"/>
      <c r="E441" s="74"/>
    </row>
    <row r="442">
      <c r="D442" s="103"/>
      <c r="E442" s="74"/>
    </row>
    <row r="443">
      <c r="D443" s="103"/>
      <c r="E443" s="74"/>
    </row>
    <row r="444">
      <c r="D444" s="103"/>
      <c r="E444" s="74"/>
    </row>
    <row r="445">
      <c r="D445" s="103"/>
      <c r="E445" s="74"/>
    </row>
    <row r="446">
      <c r="D446" s="103"/>
      <c r="E446" s="74"/>
    </row>
    <row r="447">
      <c r="D447" s="103"/>
      <c r="E447" s="74"/>
    </row>
    <row r="448">
      <c r="D448" s="103"/>
      <c r="E448" s="74"/>
    </row>
    <row r="449">
      <c r="D449" s="103"/>
      <c r="E449" s="74"/>
    </row>
    <row r="450">
      <c r="D450" s="103"/>
      <c r="E450" s="74"/>
    </row>
    <row r="451">
      <c r="D451" s="103"/>
      <c r="E451" s="74"/>
    </row>
    <row r="452">
      <c r="D452" s="103"/>
      <c r="E452" s="74"/>
    </row>
    <row r="453">
      <c r="D453" s="103"/>
      <c r="E453" s="74"/>
    </row>
    <row r="454">
      <c r="D454" s="103"/>
      <c r="E454" s="74"/>
    </row>
    <row r="455">
      <c r="D455" s="103"/>
      <c r="E455" s="74"/>
    </row>
    <row r="456">
      <c r="D456" s="103"/>
      <c r="E456" s="74"/>
    </row>
    <row r="457">
      <c r="D457" s="103"/>
      <c r="E457" s="74"/>
    </row>
    <row r="458">
      <c r="D458" s="103"/>
      <c r="E458" s="74"/>
    </row>
    <row r="459">
      <c r="D459" s="103"/>
      <c r="E459" s="74"/>
    </row>
    <row r="460">
      <c r="D460" s="103"/>
      <c r="E460" s="74"/>
    </row>
    <row r="461">
      <c r="D461" s="103"/>
      <c r="E461" s="74"/>
    </row>
    <row r="462">
      <c r="D462" s="103"/>
      <c r="E462" s="74"/>
    </row>
    <row r="463">
      <c r="D463" s="103"/>
      <c r="E463" s="74"/>
    </row>
    <row r="464">
      <c r="D464" s="103"/>
      <c r="E464" s="74"/>
    </row>
    <row r="465">
      <c r="D465" s="103"/>
      <c r="E465" s="74"/>
    </row>
    <row r="466">
      <c r="D466" s="103"/>
      <c r="E466" s="74"/>
    </row>
    <row r="467">
      <c r="D467" s="103"/>
      <c r="E467" s="74"/>
    </row>
    <row r="468">
      <c r="D468" s="103"/>
      <c r="E468" s="74"/>
    </row>
    <row r="469">
      <c r="D469" s="103"/>
      <c r="E469" s="74"/>
    </row>
    <row r="470">
      <c r="D470" s="103"/>
      <c r="E470" s="74"/>
    </row>
    <row r="471">
      <c r="D471" s="103"/>
      <c r="E471" s="74"/>
    </row>
    <row r="472">
      <c r="D472" s="103"/>
      <c r="E472" s="74"/>
    </row>
    <row r="473">
      <c r="D473" s="103"/>
      <c r="E473" s="74"/>
    </row>
    <row r="474">
      <c r="D474" s="103"/>
      <c r="E474" s="74"/>
    </row>
    <row r="475">
      <c r="D475" s="103"/>
      <c r="E475" s="74"/>
    </row>
    <row r="476">
      <c r="D476" s="103"/>
      <c r="E476" s="74"/>
    </row>
    <row r="477">
      <c r="D477" s="103"/>
      <c r="E477" s="74"/>
    </row>
    <row r="478">
      <c r="D478" s="103"/>
      <c r="E478" s="74"/>
    </row>
    <row r="479">
      <c r="D479" s="103"/>
      <c r="E479" s="74"/>
    </row>
    <row r="480">
      <c r="D480" s="103"/>
      <c r="E480" s="74"/>
    </row>
    <row r="481">
      <c r="D481" s="103"/>
      <c r="E481" s="74"/>
    </row>
    <row r="482">
      <c r="D482" s="103"/>
      <c r="E482" s="74"/>
    </row>
    <row r="483">
      <c r="D483" s="103"/>
      <c r="E483" s="74"/>
    </row>
    <row r="484">
      <c r="D484" s="103"/>
      <c r="E484" s="74"/>
    </row>
    <row r="485">
      <c r="D485" s="103"/>
      <c r="E485" s="74"/>
    </row>
    <row r="486">
      <c r="D486" s="103"/>
      <c r="E486" s="74"/>
    </row>
    <row r="487">
      <c r="D487" s="103"/>
      <c r="E487" s="74"/>
    </row>
    <row r="488">
      <c r="D488" s="103"/>
      <c r="E488" s="74"/>
    </row>
    <row r="489">
      <c r="D489" s="103"/>
      <c r="E489" s="74"/>
    </row>
    <row r="490">
      <c r="D490" s="103"/>
      <c r="E490" s="74"/>
    </row>
    <row r="491">
      <c r="D491" s="103"/>
      <c r="E491" s="74"/>
    </row>
    <row r="492">
      <c r="D492" s="103"/>
      <c r="E492" s="74"/>
    </row>
    <row r="493">
      <c r="D493" s="103"/>
      <c r="E493" s="74"/>
    </row>
    <row r="494">
      <c r="D494" s="103"/>
      <c r="E494" s="74"/>
    </row>
    <row r="495">
      <c r="D495" s="103"/>
      <c r="E495" s="74"/>
    </row>
    <row r="496">
      <c r="D496" s="103"/>
      <c r="E496" s="74"/>
    </row>
    <row r="497">
      <c r="D497" s="103"/>
      <c r="E497" s="74"/>
    </row>
    <row r="498">
      <c r="D498" s="103"/>
      <c r="E498" s="74"/>
    </row>
    <row r="499">
      <c r="D499" s="103"/>
      <c r="E499" s="74"/>
    </row>
    <row r="500">
      <c r="D500" s="103"/>
      <c r="E500" s="74"/>
    </row>
    <row r="501">
      <c r="D501" s="103"/>
      <c r="E501" s="74"/>
    </row>
    <row r="502">
      <c r="D502" s="103"/>
      <c r="E502" s="74"/>
    </row>
    <row r="503">
      <c r="D503" s="103"/>
      <c r="E503" s="74"/>
    </row>
    <row r="504">
      <c r="D504" s="103"/>
      <c r="E504" s="74"/>
    </row>
    <row r="505">
      <c r="D505" s="103"/>
      <c r="E505" s="74"/>
    </row>
    <row r="506">
      <c r="D506" s="103"/>
      <c r="E506" s="74"/>
    </row>
    <row r="507">
      <c r="D507" s="103"/>
      <c r="E507" s="74"/>
    </row>
    <row r="508">
      <c r="D508" s="103"/>
      <c r="E508" s="74"/>
    </row>
    <row r="509">
      <c r="D509" s="103"/>
      <c r="E509" s="74"/>
    </row>
    <row r="510">
      <c r="D510" s="103"/>
      <c r="E510" s="74"/>
    </row>
    <row r="511">
      <c r="D511" s="103"/>
      <c r="E511" s="74"/>
    </row>
    <row r="512">
      <c r="D512" s="103"/>
      <c r="E512" s="74"/>
    </row>
    <row r="513">
      <c r="D513" s="103"/>
      <c r="E513" s="74"/>
    </row>
    <row r="514">
      <c r="D514" s="103"/>
      <c r="E514" s="74"/>
    </row>
    <row r="515">
      <c r="D515" s="103"/>
      <c r="E515" s="74"/>
    </row>
    <row r="516">
      <c r="D516" s="103"/>
      <c r="E516" s="74"/>
    </row>
    <row r="517">
      <c r="D517" s="103"/>
      <c r="E517" s="74"/>
    </row>
    <row r="518">
      <c r="D518" s="103"/>
      <c r="E518" s="74"/>
    </row>
    <row r="519">
      <c r="D519" s="103"/>
      <c r="E519" s="74"/>
    </row>
    <row r="520">
      <c r="D520" s="103"/>
      <c r="E520" s="74"/>
    </row>
    <row r="521">
      <c r="D521" s="103"/>
      <c r="E521" s="74"/>
    </row>
    <row r="522">
      <c r="D522" s="103"/>
      <c r="E522" s="74"/>
    </row>
    <row r="523">
      <c r="D523" s="103"/>
      <c r="E523" s="74"/>
    </row>
    <row r="524">
      <c r="D524" s="103"/>
      <c r="E524" s="74"/>
    </row>
    <row r="525">
      <c r="D525" s="103"/>
      <c r="E525" s="74"/>
    </row>
    <row r="526">
      <c r="D526" s="103"/>
      <c r="E526" s="74"/>
    </row>
    <row r="527">
      <c r="D527" s="103"/>
      <c r="E527" s="74"/>
    </row>
    <row r="528">
      <c r="D528" s="103"/>
      <c r="E528" s="74"/>
    </row>
    <row r="529">
      <c r="D529" s="103"/>
      <c r="E529" s="74"/>
    </row>
    <row r="530">
      <c r="D530" s="103"/>
      <c r="E530" s="74"/>
    </row>
    <row r="531">
      <c r="D531" s="103"/>
      <c r="E531" s="74"/>
    </row>
    <row r="532">
      <c r="D532" s="103"/>
      <c r="E532" s="74"/>
    </row>
    <row r="533">
      <c r="D533" s="103"/>
      <c r="E533" s="74"/>
    </row>
    <row r="534">
      <c r="D534" s="103"/>
      <c r="E534" s="74"/>
    </row>
    <row r="535">
      <c r="D535" s="103"/>
      <c r="E535" s="74"/>
    </row>
    <row r="536">
      <c r="D536" s="103"/>
      <c r="E536" s="74"/>
    </row>
    <row r="537">
      <c r="D537" s="103"/>
      <c r="E537" s="74"/>
    </row>
    <row r="538">
      <c r="D538" s="103"/>
      <c r="E538" s="74"/>
    </row>
    <row r="539">
      <c r="D539" s="103"/>
      <c r="E539" s="74"/>
    </row>
    <row r="540">
      <c r="D540" s="103"/>
      <c r="E540" s="74"/>
    </row>
    <row r="541">
      <c r="D541" s="103"/>
      <c r="E541" s="74"/>
    </row>
    <row r="542">
      <c r="D542" s="103"/>
      <c r="E542" s="74"/>
    </row>
    <row r="543">
      <c r="D543" s="103"/>
      <c r="E543" s="74"/>
    </row>
    <row r="544">
      <c r="D544" s="103"/>
      <c r="E544" s="74"/>
    </row>
    <row r="545">
      <c r="D545" s="103"/>
      <c r="E545" s="74"/>
    </row>
    <row r="546">
      <c r="D546" s="103"/>
      <c r="E546" s="74"/>
    </row>
    <row r="547">
      <c r="D547" s="103"/>
      <c r="E547" s="74"/>
    </row>
    <row r="548">
      <c r="D548" s="103"/>
      <c r="E548" s="74"/>
    </row>
    <row r="549">
      <c r="D549" s="103"/>
      <c r="E549" s="74"/>
    </row>
    <row r="550">
      <c r="D550" s="103"/>
      <c r="E550" s="74"/>
    </row>
    <row r="551">
      <c r="D551" s="103"/>
      <c r="E551" s="74"/>
    </row>
    <row r="552">
      <c r="D552" s="103"/>
      <c r="E552" s="74"/>
    </row>
    <row r="553">
      <c r="D553" s="103"/>
      <c r="E553" s="74"/>
    </row>
    <row r="554">
      <c r="D554" s="103"/>
      <c r="E554" s="74"/>
    </row>
    <row r="555">
      <c r="D555" s="103"/>
      <c r="E555" s="74"/>
    </row>
    <row r="556">
      <c r="D556" s="103"/>
      <c r="E556" s="74"/>
    </row>
    <row r="557">
      <c r="D557" s="103"/>
      <c r="E557" s="74"/>
    </row>
    <row r="558">
      <c r="D558" s="103"/>
      <c r="E558" s="74"/>
    </row>
    <row r="559">
      <c r="D559" s="103"/>
      <c r="E559" s="74"/>
    </row>
    <row r="560">
      <c r="D560" s="103"/>
      <c r="E560" s="74"/>
    </row>
    <row r="561">
      <c r="D561" s="103"/>
      <c r="E561" s="74"/>
    </row>
    <row r="562">
      <c r="D562" s="103"/>
      <c r="E562" s="74"/>
    </row>
    <row r="563">
      <c r="D563" s="103"/>
      <c r="E563" s="74"/>
    </row>
    <row r="564">
      <c r="D564" s="103"/>
      <c r="E564" s="74"/>
    </row>
    <row r="565">
      <c r="D565" s="103"/>
      <c r="E565" s="74"/>
    </row>
    <row r="566">
      <c r="D566" s="103"/>
      <c r="E566" s="74"/>
    </row>
    <row r="567">
      <c r="D567" s="103"/>
      <c r="E567" s="74"/>
    </row>
    <row r="568">
      <c r="D568" s="103"/>
      <c r="E568" s="74"/>
    </row>
    <row r="569">
      <c r="D569" s="103"/>
      <c r="E569" s="74"/>
    </row>
    <row r="570">
      <c r="D570" s="103"/>
      <c r="E570" s="74"/>
    </row>
    <row r="571">
      <c r="D571" s="103"/>
      <c r="E571" s="74"/>
    </row>
    <row r="572">
      <c r="D572" s="103"/>
      <c r="E572" s="74"/>
    </row>
    <row r="573">
      <c r="D573" s="103"/>
      <c r="E573" s="74"/>
    </row>
    <row r="574">
      <c r="D574" s="103"/>
      <c r="E574" s="74"/>
    </row>
    <row r="575">
      <c r="D575" s="103"/>
      <c r="E575" s="74"/>
    </row>
    <row r="576">
      <c r="D576" s="103"/>
      <c r="E576" s="74"/>
    </row>
    <row r="577">
      <c r="D577" s="103"/>
      <c r="E577" s="74"/>
    </row>
    <row r="578">
      <c r="D578" s="103"/>
      <c r="E578" s="74"/>
    </row>
    <row r="579">
      <c r="D579" s="103"/>
      <c r="E579" s="74"/>
    </row>
    <row r="580">
      <c r="D580" s="103"/>
      <c r="E580" s="74"/>
    </row>
    <row r="581">
      <c r="D581" s="103"/>
      <c r="E581" s="74"/>
    </row>
    <row r="582">
      <c r="D582" s="103"/>
      <c r="E582" s="74"/>
    </row>
    <row r="583">
      <c r="D583" s="103"/>
      <c r="E583" s="74"/>
    </row>
    <row r="584">
      <c r="D584" s="103"/>
      <c r="E584" s="74"/>
    </row>
    <row r="585">
      <c r="D585" s="103"/>
      <c r="E585" s="74"/>
    </row>
    <row r="586">
      <c r="D586" s="103"/>
      <c r="E586" s="74"/>
    </row>
    <row r="587">
      <c r="D587" s="103"/>
      <c r="E587" s="74"/>
    </row>
    <row r="588">
      <c r="D588" s="103"/>
      <c r="E588" s="74"/>
    </row>
    <row r="589">
      <c r="D589" s="103"/>
      <c r="E589" s="74"/>
    </row>
    <row r="590">
      <c r="D590" s="103"/>
      <c r="E590" s="74"/>
    </row>
    <row r="591">
      <c r="D591" s="103"/>
      <c r="E591" s="74"/>
    </row>
    <row r="592">
      <c r="D592" s="103"/>
      <c r="E592" s="74"/>
    </row>
    <row r="593">
      <c r="D593" s="103"/>
      <c r="E593" s="74"/>
    </row>
    <row r="594">
      <c r="D594" s="103"/>
      <c r="E594" s="74"/>
    </row>
    <row r="595">
      <c r="D595" s="103"/>
      <c r="E595" s="74"/>
    </row>
    <row r="596">
      <c r="D596" s="103"/>
      <c r="E596" s="74"/>
    </row>
    <row r="597">
      <c r="D597" s="103"/>
      <c r="E597" s="74"/>
    </row>
    <row r="598">
      <c r="D598" s="103"/>
      <c r="E598" s="74"/>
    </row>
    <row r="599">
      <c r="D599" s="103"/>
      <c r="E599" s="74"/>
    </row>
    <row r="600">
      <c r="D600" s="103"/>
      <c r="E600" s="74"/>
    </row>
    <row r="601">
      <c r="D601" s="103"/>
      <c r="E601" s="74"/>
    </row>
    <row r="602">
      <c r="D602" s="103"/>
      <c r="E602" s="74"/>
    </row>
    <row r="603">
      <c r="D603" s="103"/>
      <c r="E603" s="74"/>
    </row>
    <row r="604">
      <c r="D604" s="103"/>
      <c r="E604" s="74"/>
    </row>
    <row r="605">
      <c r="D605" s="103"/>
      <c r="E605" s="74"/>
    </row>
    <row r="606">
      <c r="D606" s="103"/>
      <c r="E606" s="74"/>
    </row>
    <row r="607">
      <c r="D607" s="103"/>
      <c r="E607" s="74"/>
    </row>
    <row r="608">
      <c r="D608" s="103"/>
      <c r="E608" s="74"/>
    </row>
    <row r="609">
      <c r="D609" s="103"/>
      <c r="E609" s="74"/>
    </row>
    <row r="610">
      <c r="D610" s="103"/>
      <c r="E610" s="74"/>
    </row>
    <row r="611">
      <c r="D611" s="103"/>
      <c r="E611" s="74"/>
    </row>
    <row r="612">
      <c r="D612" s="103"/>
      <c r="E612" s="74"/>
    </row>
    <row r="613">
      <c r="D613" s="103"/>
      <c r="E613" s="74"/>
    </row>
    <row r="614">
      <c r="D614" s="103"/>
      <c r="E614" s="74"/>
    </row>
    <row r="615">
      <c r="D615" s="103"/>
      <c r="E615" s="74"/>
    </row>
    <row r="616">
      <c r="D616" s="103"/>
      <c r="E616" s="74"/>
    </row>
    <row r="617">
      <c r="D617" s="103"/>
      <c r="E617" s="74"/>
    </row>
    <row r="618">
      <c r="D618" s="103"/>
      <c r="E618" s="74"/>
    </row>
    <row r="619">
      <c r="D619" s="103"/>
      <c r="E619" s="74"/>
    </row>
    <row r="620">
      <c r="D620" s="103"/>
      <c r="E620" s="74"/>
    </row>
    <row r="621">
      <c r="D621" s="103"/>
      <c r="E621" s="74"/>
    </row>
    <row r="622">
      <c r="D622" s="103"/>
      <c r="E622" s="74"/>
    </row>
    <row r="623">
      <c r="D623" s="103"/>
      <c r="E623" s="74"/>
    </row>
    <row r="624">
      <c r="D624" s="103"/>
      <c r="E624" s="74"/>
    </row>
    <row r="625">
      <c r="D625" s="103"/>
      <c r="E625" s="74"/>
    </row>
    <row r="626">
      <c r="D626" s="103"/>
      <c r="E626" s="74"/>
    </row>
    <row r="627">
      <c r="D627" s="103"/>
      <c r="E627" s="74"/>
    </row>
    <row r="628">
      <c r="D628" s="103"/>
      <c r="E628" s="74"/>
    </row>
    <row r="629">
      <c r="D629" s="103"/>
      <c r="E629" s="74"/>
    </row>
    <row r="630">
      <c r="D630" s="103"/>
      <c r="E630" s="74"/>
    </row>
    <row r="631">
      <c r="D631" s="103"/>
      <c r="E631" s="74"/>
    </row>
    <row r="632">
      <c r="D632" s="103"/>
      <c r="E632" s="74"/>
    </row>
    <row r="633">
      <c r="D633" s="103"/>
      <c r="E633" s="74"/>
    </row>
    <row r="634">
      <c r="D634" s="103"/>
      <c r="E634" s="74"/>
    </row>
    <row r="635">
      <c r="D635" s="103"/>
      <c r="E635" s="74"/>
    </row>
    <row r="636">
      <c r="D636" s="103"/>
      <c r="E636" s="74"/>
    </row>
    <row r="637">
      <c r="D637" s="103"/>
      <c r="E637" s="74"/>
    </row>
    <row r="638">
      <c r="D638" s="103"/>
      <c r="E638" s="74"/>
    </row>
    <row r="639">
      <c r="D639" s="103"/>
      <c r="E639" s="74"/>
    </row>
    <row r="640">
      <c r="D640" s="103"/>
      <c r="E640" s="74"/>
    </row>
    <row r="641">
      <c r="D641" s="103"/>
      <c r="E641" s="74"/>
    </row>
    <row r="642">
      <c r="D642" s="103"/>
      <c r="E642" s="74"/>
    </row>
    <row r="643">
      <c r="D643" s="103"/>
      <c r="E643" s="74"/>
    </row>
    <row r="644">
      <c r="D644" s="103"/>
      <c r="E644" s="74"/>
    </row>
    <row r="645">
      <c r="D645" s="103"/>
      <c r="E645" s="74"/>
    </row>
    <row r="646">
      <c r="D646" s="103"/>
      <c r="E646" s="74"/>
    </row>
    <row r="647">
      <c r="D647" s="103"/>
      <c r="E647" s="74"/>
    </row>
    <row r="648">
      <c r="D648" s="103"/>
      <c r="E648" s="74"/>
    </row>
    <row r="649">
      <c r="D649" s="103"/>
      <c r="E649" s="74"/>
    </row>
    <row r="650">
      <c r="D650" s="103"/>
      <c r="E650" s="74"/>
    </row>
    <row r="651">
      <c r="D651" s="103"/>
      <c r="E651" s="74"/>
    </row>
    <row r="652">
      <c r="D652" s="103"/>
      <c r="E652" s="74"/>
    </row>
    <row r="653">
      <c r="D653" s="103"/>
      <c r="E653" s="74"/>
    </row>
    <row r="654">
      <c r="D654" s="103"/>
      <c r="E654" s="74"/>
    </row>
    <row r="655">
      <c r="D655" s="103"/>
      <c r="E655" s="74"/>
    </row>
    <row r="656">
      <c r="D656" s="103"/>
      <c r="E656" s="74"/>
    </row>
    <row r="657">
      <c r="D657" s="103"/>
      <c r="E657" s="74"/>
    </row>
    <row r="658">
      <c r="D658" s="103"/>
      <c r="E658" s="74"/>
    </row>
    <row r="659">
      <c r="D659" s="103"/>
      <c r="E659" s="74"/>
    </row>
    <row r="660">
      <c r="D660" s="103"/>
      <c r="E660" s="74"/>
    </row>
    <row r="661">
      <c r="D661" s="103"/>
      <c r="E661" s="74"/>
    </row>
    <row r="662">
      <c r="D662" s="103"/>
      <c r="E662" s="74"/>
    </row>
    <row r="663">
      <c r="D663" s="103"/>
      <c r="E663" s="74"/>
    </row>
    <row r="664">
      <c r="D664" s="103"/>
      <c r="E664" s="74"/>
    </row>
    <row r="665">
      <c r="D665" s="103"/>
      <c r="E665" s="74"/>
    </row>
    <row r="666">
      <c r="D666" s="103"/>
      <c r="E666" s="74"/>
    </row>
    <row r="667">
      <c r="D667" s="103"/>
      <c r="E667" s="74"/>
    </row>
    <row r="668">
      <c r="D668" s="103"/>
      <c r="E668" s="74"/>
    </row>
    <row r="669">
      <c r="D669" s="103"/>
      <c r="E669" s="74"/>
    </row>
    <row r="670">
      <c r="D670" s="103"/>
      <c r="E670" s="74"/>
    </row>
    <row r="671">
      <c r="D671" s="103"/>
      <c r="E671" s="74"/>
    </row>
    <row r="672">
      <c r="D672" s="103"/>
      <c r="E672" s="74"/>
    </row>
    <row r="673">
      <c r="D673" s="103"/>
      <c r="E673" s="74"/>
    </row>
    <row r="674">
      <c r="D674" s="103"/>
      <c r="E674" s="74"/>
    </row>
    <row r="675">
      <c r="D675" s="103"/>
      <c r="E675" s="74"/>
    </row>
    <row r="676">
      <c r="D676" s="103"/>
      <c r="E676" s="74"/>
    </row>
    <row r="677">
      <c r="D677" s="103"/>
      <c r="E677" s="74"/>
    </row>
    <row r="678">
      <c r="D678" s="103"/>
      <c r="E678" s="74"/>
    </row>
    <row r="679">
      <c r="D679" s="103"/>
      <c r="E679" s="74"/>
    </row>
    <row r="680">
      <c r="D680" s="103"/>
      <c r="E680" s="74"/>
    </row>
    <row r="681">
      <c r="D681" s="103"/>
      <c r="E681" s="74"/>
    </row>
    <row r="682">
      <c r="D682" s="103"/>
      <c r="E682" s="74"/>
    </row>
    <row r="683">
      <c r="D683" s="103"/>
      <c r="E683" s="74"/>
    </row>
    <row r="684">
      <c r="D684" s="103"/>
      <c r="E684" s="74"/>
    </row>
    <row r="685">
      <c r="D685" s="103"/>
      <c r="E685" s="74"/>
    </row>
    <row r="686">
      <c r="D686" s="103"/>
      <c r="E686" s="74"/>
    </row>
    <row r="687">
      <c r="D687" s="103"/>
      <c r="E687" s="74"/>
    </row>
    <row r="688">
      <c r="D688" s="103"/>
      <c r="E688" s="74"/>
    </row>
    <row r="689">
      <c r="D689" s="103"/>
      <c r="E689" s="74"/>
    </row>
    <row r="690">
      <c r="D690" s="103"/>
      <c r="E690" s="74"/>
    </row>
    <row r="691">
      <c r="D691" s="103"/>
      <c r="E691" s="74"/>
    </row>
    <row r="692">
      <c r="D692" s="103"/>
      <c r="E692" s="74"/>
    </row>
    <row r="693">
      <c r="D693" s="103"/>
      <c r="E693" s="74"/>
    </row>
    <row r="694">
      <c r="D694" s="103"/>
      <c r="E694" s="74"/>
    </row>
    <row r="695">
      <c r="D695" s="103"/>
      <c r="E695" s="74"/>
    </row>
    <row r="696">
      <c r="D696" s="103"/>
      <c r="E696" s="74"/>
    </row>
    <row r="697">
      <c r="D697" s="103"/>
      <c r="E697" s="74"/>
    </row>
    <row r="698">
      <c r="D698" s="103"/>
      <c r="E698" s="74"/>
    </row>
    <row r="699">
      <c r="D699" s="103"/>
      <c r="E699" s="74"/>
    </row>
    <row r="700">
      <c r="D700" s="103"/>
      <c r="E700" s="74"/>
    </row>
    <row r="701">
      <c r="D701" s="103"/>
      <c r="E701" s="74"/>
    </row>
    <row r="702">
      <c r="D702" s="103"/>
      <c r="E702" s="74"/>
    </row>
    <row r="703">
      <c r="D703" s="103"/>
      <c r="E703" s="74"/>
    </row>
    <row r="704">
      <c r="D704" s="103"/>
      <c r="E704" s="74"/>
    </row>
    <row r="705">
      <c r="D705" s="103"/>
      <c r="E705" s="74"/>
    </row>
    <row r="706">
      <c r="D706" s="103"/>
      <c r="E706" s="74"/>
    </row>
    <row r="707">
      <c r="D707" s="103"/>
      <c r="E707" s="74"/>
    </row>
    <row r="708">
      <c r="D708" s="103"/>
      <c r="E708" s="74"/>
    </row>
    <row r="709">
      <c r="D709" s="103"/>
      <c r="E709" s="74"/>
    </row>
    <row r="710">
      <c r="D710" s="103"/>
      <c r="E710" s="74"/>
    </row>
    <row r="711">
      <c r="D711" s="103"/>
      <c r="E711" s="74"/>
    </row>
    <row r="712">
      <c r="D712" s="103"/>
      <c r="E712" s="74"/>
    </row>
    <row r="713">
      <c r="D713" s="103"/>
      <c r="E713" s="74"/>
    </row>
    <row r="714">
      <c r="D714" s="103"/>
      <c r="E714" s="74"/>
    </row>
    <row r="715">
      <c r="D715" s="103"/>
      <c r="E715" s="74"/>
    </row>
    <row r="716">
      <c r="D716" s="103"/>
      <c r="E716" s="74"/>
    </row>
    <row r="717">
      <c r="D717" s="103"/>
      <c r="E717" s="74"/>
    </row>
    <row r="718">
      <c r="D718" s="103"/>
      <c r="E718" s="74"/>
    </row>
    <row r="719">
      <c r="D719" s="103"/>
      <c r="E719" s="74"/>
    </row>
    <row r="720">
      <c r="D720" s="103"/>
      <c r="E720" s="74"/>
    </row>
    <row r="721">
      <c r="D721" s="103"/>
      <c r="E721" s="74"/>
    </row>
    <row r="722">
      <c r="D722" s="103"/>
      <c r="E722" s="74"/>
    </row>
    <row r="723">
      <c r="D723" s="103"/>
      <c r="E723" s="74"/>
    </row>
    <row r="724">
      <c r="D724" s="103"/>
      <c r="E724" s="74"/>
    </row>
    <row r="725">
      <c r="D725" s="103"/>
      <c r="E725" s="74"/>
    </row>
    <row r="726">
      <c r="D726" s="103"/>
      <c r="E726" s="74"/>
    </row>
    <row r="727">
      <c r="D727" s="103"/>
      <c r="E727" s="74"/>
    </row>
    <row r="728">
      <c r="D728" s="103"/>
      <c r="E728" s="74"/>
    </row>
    <row r="729">
      <c r="D729" s="103"/>
      <c r="E729" s="74"/>
    </row>
    <row r="730">
      <c r="D730" s="103"/>
      <c r="E730" s="74"/>
    </row>
    <row r="731">
      <c r="D731" s="103"/>
      <c r="E731" s="74"/>
    </row>
    <row r="732">
      <c r="D732" s="103"/>
      <c r="E732" s="74"/>
    </row>
    <row r="733">
      <c r="D733" s="103"/>
      <c r="E733" s="74"/>
    </row>
    <row r="734">
      <c r="D734" s="103"/>
      <c r="E734" s="74"/>
    </row>
    <row r="735">
      <c r="D735" s="103"/>
      <c r="E735" s="74"/>
    </row>
    <row r="736">
      <c r="D736" s="103"/>
      <c r="E736" s="74"/>
    </row>
    <row r="737">
      <c r="D737" s="103"/>
      <c r="E737" s="74"/>
    </row>
    <row r="738">
      <c r="D738" s="103"/>
      <c r="E738" s="74"/>
    </row>
    <row r="739">
      <c r="D739" s="103"/>
      <c r="E739" s="74"/>
    </row>
    <row r="740">
      <c r="D740" s="103"/>
      <c r="E740" s="74"/>
    </row>
    <row r="741">
      <c r="D741" s="103"/>
      <c r="E741" s="74"/>
    </row>
    <row r="742">
      <c r="D742" s="103"/>
      <c r="E742" s="74"/>
    </row>
    <row r="743">
      <c r="D743" s="103"/>
      <c r="E743" s="74"/>
    </row>
    <row r="744">
      <c r="D744" s="103"/>
      <c r="E744" s="74"/>
    </row>
    <row r="745">
      <c r="D745" s="103"/>
      <c r="E745" s="74"/>
    </row>
    <row r="746">
      <c r="D746" s="103"/>
      <c r="E746" s="74"/>
    </row>
    <row r="747">
      <c r="D747" s="103"/>
      <c r="E747" s="74"/>
    </row>
    <row r="748">
      <c r="D748" s="103"/>
      <c r="E748" s="74"/>
    </row>
    <row r="749">
      <c r="D749" s="103"/>
      <c r="E749" s="74"/>
    </row>
    <row r="750">
      <c r="D750" s="103"/>
      <c r="E750" s="74"/>
    </row>
    <row r="751">
      <c r="D751" s="103"/>
      <c r="E751" s="74"/>
    </row>
    <row r="752">
      <c r="D752" s="103"/>
      <c r="E752" s="74"/>
    </row>
    <row r="753">
      <c r="D753" s="103"/>
      <c r="E753" s="74"/>
    </row>
    <row r="754">
      <c r="D754" s="103"/>
      <c r="E754" s="74"/>
    </row>
    <row r="755">
      <c r="D755" s="103"/>
      <c r="E755" s="74"/>
    </row>
    <row r="756">
      <c r="D756" s="103"/>
      <c r="E756" s="74"/>
    </row>
    <row r="757">
      <c r="D757" s="103"/>
      <c r="E757" s="74"/>
    </row>
    <row r="758">
      <c r="D758" s="103"/>
      <c r="E758" s="74"/>
    </row>
    <row r="759">
      <c r="D759" s="103"/>
      <c r="E759" s="74"/>
    </row>
    <row r="760">
      <c r="D760" s="103"/>
      <c r="E760" s="74"/>
    </row>
    <row r="761">
      <c r="D761" s="103"/>
      <c r="E761" s="74"/>
    </row>
    <row r="762">
      <c r="D762" s="103"/>
      <c r="E762" s="74"/>
    </row>
    <row r="763">
      <c r="D763" s="103"/>
      <c r="E763" s="74"/>
    </row>
    <row r="764">
      <c r="D764" s="103"/>
      <c r="E764" s="74"/>
    </row>
    <row r="765">
      <c r="D765" s="103"/>
      <c r="E765" s="74"/>
    </row>
    <row r="766">
      <c r="D766" s="103"/>
      <c r="E766" s="74"/>
    </row>
    <row r="767">
      <c r="D767" s="103"/>
      <c r="E767" s="74"/>
    </row>
    <row r="768">
      <c r="D768" s="103"/>
      <c r="E768" s="74"/>
    </row>
    <row r="769">
      <c r="D769" s="103"/>
      <c r="E769" s="74"/>
    </row>
    <row r="770">
      <c r="D770" s="103"/>
      <c r="E770" s="74"/>
    </row>
    <row r="771">
      <c r="D771" s="103"/>
      <c r="E771" s="74"/>
    </row>
    <row r="772">
      <c r="D772" s="103"/>
      <c r="E772" s="74"/>
    </row>
    <row r="773">
      <c r="D773" s="103"/>
      <c r="E773" s="74"/>
    </row>
    <row r="774">
      <c r="D774" s="103"/>
      <c r="E774" s="74"/>
    </row>
    <row r="775">
      <c r="D775" s="103"/>
      <c r="E775" s="74"/>
    </row>
    <row r="776">
      <c r="D776" s="103"/>
      <c r="E776" s="74"/>
    </row>
    <row r="777">
      <c r="D777" s="103"/>
      <c r="E777" s="74"/>
    </row>
    <row r="778">
      <c r="D778" s="103"/>
      <c r="E778" s="74"/>
    </row>
    <row r="779">
      <c r="D779" s="103"/>
      <c r="E779" s="74"/>
    </row>
    <row r="780">
      <c r="D780" s="103"/>
      <c r="E780" s="74"/>
    </row>
    <row r="781">
      <c r="D781" s="103"/>
      <c r="E781" s="74"/>
    </row>
    <row r="782">
      <c r="D782" s="103"/>
      <c r="E782" s="74"/>
    </row>
    <row r="783">
      <c r="D783" s="103"/>
      <c r="E783" s="74"/>
    </row>
    <row r="784">
      <c r="D784" s="103"/>
      <c r="E784" s="74"/>
    </row>
    <row r="785">
      <c r="D785" s="103"/>
      <c r="E785" s="74"/>
    </row>
    <row r="786">
      <c r="D786" s="103"/>
      <c r="E786" s="74"/>
    </row>
    <row r="787">
      <c r="D787" s="103"/>
      <c r="E787" s="74"/>
    </row>
    <row r="788">
      <c r="D788" s="103"/>
      <c r="E788" s="74"/>
    </row>
    <row r="789">
      <c r="D789" s="103"/>
      <c r="E789" s="74"/>
    </row>
    <row r="790">
      <c r="D790" s="103"/>
      <c r="E790" s="74"/>
    </row>
    <row r="791">
      <c r="D791" s="103"/>
      <c r="E791" s="74"/>
    </row>
    <row r="792">
      <c r="D792" s="103"/>
      <c r="E792" s="74"/>
    </row>
    <row r="793">
      <c r="D793" s="103"/>
      <c r="E793" s="74"/>
    </row>
    <row r="794">
      <c r="D794" s="103"/>
      <c r="E794" s="74"/>
    </row>
    <row r="795">
      <c r="D795" s="103"/>
      <c r="E795" s="74"/>
    </row>
    <row r="796">
      <c r="D796" s="103"/>
      <c r="E796" s="74"/>
    </row>
    <row r="797">
      <c r="D797" s="103"/>
      <c r="E797" s="74"/>
    </row>
    <row r="798">
      <c r="D798" s="103"/>
      <c r="E798" s="74"/>
    </row>
    <row r="799">
      <c r="D799" s="103"/>
      <c r="E799" s="74"/>
    </row>
    <row r="800">
      <c r="D800" s="103"/>
      <c r="E800" s="74"/>
    </row>
    <row r="801">
      <c r="D801" s="103"/>
      <c r="E801" s="74"/>
    </row>
    <row r="802">
      <c r="D802" s="103"/>
      <c r="E802" s="74"/>
    </row>
    <row r="803">
      <c r="D803" s="103"/>
      <c r="E803" s="74"/>
    </row>
    <row r="804">
      <c r="D804" s="103"/>
      <c r="E804" s="74"/>
    </row>
    <row r="805">
      <c r="D805" s="103"/>
      <c r="E805" s="74"/>
    </row>
    <row r="806">
      <c r="D806" s="103"/>
      <c r="E806" s="74"/>
    </row>
    <row r="807">
      <c r="D807" s="103"/>
      <c r="E807" s="74"/>
    </row>
    <row r="808">
      <c r="D808" s="103"/>
      <c r="E808" s="74"/>
    </row>
    <row r="809">
      <c r="D809" s="103"/>
      <c r="E809" s="74"/>
    </row>
    <row r="810">
      <c r="D810" s="103"/>
      <c r="E810" s="74"/>
    </row>
    <row r="811">
      <c r="D811" s="103"/>
      <c r="E811" s="74"/>
    </row>
    <row r="812">
      <c r="D812" s="103"/>
      <c r="E812" s="74"/>
    </row>
    <row r="813">
      <c r="D813" s="103"/>
      <c r="E813" s="74"/>
    </row>
    <row r="814">
      <c r="D814" s="103"/>
      <c r="E814" s="74"/>
    </row>
    <row r="815">
      <c r="D815" s="103"/>
      <c r="E815" s="74"/>
    </row>
    <row r="816">
      <c r="D816" s="103"/>
      <c r="E816" s="74"/>
    </row>
    <row r="817">
      <c r="D817" s="103"/>
      <c r="E817" s="74"/>
    </row>
    <row r="818">
      <c r="D818" s="103"/>
      <c r="E818" s="74"/>
    </row>
    <row r="819">
      <c r="D819" s="103"/>
      <c r="E819" s="74"/>
    </row>
    <row r="820">
      <c r="D820" s="103"/>
      <c r="E820" s="74"/>
    </row>
    <row r="821">
      <c r="D821" s="103"/>
      <c r="E821" s="74"/>
    </row>
    <row r="822">
      <c r="D822" s="103"/>
      <c r="E822" s="74"/>
    </row>
    <row r="823">
      <c r="D823" s="103"/>
      <c r="E823" s="74"/>
    </row>
    <row r="824">
      <c r="D824" s="103"/>
      <c r="E824" s="74"/>
    </row>
    <row r="825">
      <c r="D825" s="103"/>
      <c r="E825" s="74"/>
    </row>
    <row r="826">
      <c r="D826" s="103"/>
      <c r="E826" s="74"/>
    </row>
    <row r="827">
      <c r="D827" s="103"/>
      <c r="E827" s="74"/>
    </row>
    <row r="828">
      <c r="D828" s="103"/>
      <c r="E828" s="74"/>
    </row>
    <row r="829">
      <c r="D829" s="103"/>
      <c r="E829" s="74"/>
    </row>
    <row r="830">
      <c r="D830" s="103"/>
      <c r="E830" s="74"/>
    </row>
    <row r="831">
      <c r="D831" s="103"/>
      <c r="E831" s="74"/>
    </row>
    <row r="832">
      <c r="D832" s="103"/>
      <c r="E832" s="74"/>
    </row>
    <row r="833">
      <c r="D833" s="103"/>
      <c r="E833" s="74"/>
    </row>
    <row r="834">
      <c r="D834" s="103"/>
      <c r="E834" s="74"/>
    </row>
    <row r="835">
      <c r="D835" s="103"/>
      <c r="E835" s="74"/>
    </row>
    <row r="836">
      <c r="D836" s="103"/>
      <c r="E836" s="74"/>
    </row>
    <row r="837">
      <c r="D837" s="103"/>
      <c r="E837" s="74"/>
    </row>
    <row r="838">
      <c r="D838" s="103"/>
      <c r="E838" s="74"/>
    </row>
    <row r="839">
      <c r="D839" s="103"/>
      <c r="E839" s="74"/>
    </row>
    <row r="840">
      <c r="D840" s="103"/>
      <c r="E840" s="74"/>
    </row>
    <row r="841">
      <c r="D841" s="103"/>
      <c r="E841" s="74"/>
    </row>
    <row r="842">
      <c r="D842" s="103"/>
      <c r="E842" s="74"/>
    </row>
    <row r="843">
      <c r="D843" s="103"/>
      <c r="E843" s="74"/>
    </row>
    <row r="844">
      <c r="D844" s="103"/>
      <c r="E844" s="74"/>
    </row>
    <row r="845">
      <c r="D845" s="103"/>
      <c r="E845" s="74"/>
    </row>
    <row r="846">
      <c r="D846" s="103"/>
      <c r="E846" s="74"/>
    </row>
    <row r="847">
      <c r="D847" s="103"/>
      <c r="E847" s="74"/>
    </row>
    <row r="848">
      <c r="D848" s="103"/>
      <c r="E848" s="74"/>
    </row>
    <row r="849">
      <c r="D849" s="103"/>
      <c r="E849" s="74"/>
    </row>
    <row r="850">
      <c r="D850" s="103"/>
      <c r="E850" s="74"/>
    </row>
    <row r="851">
      <c r="D851" s="103"/>
      <c r="E851" s="74"/>
    </row>
    <row r="852">
      <c r="D852" s="103"/>
      <c r="E852" s="74"/>
    </row>
    <row r="853">
      <c r="D853" s="103"/>
      <c r="E853" s="74"/>
    </row>
    <row r="854">
      <c r="D854" s="103"/>
      <c r="E854" s="74"/>
    </row>
    <row r="855">
      <c r="D855" s="103"/>
      <c r="E855" s="74"/>
    </row>
    <row r="856">
      <c r="D856" s="103"/>
      <c r="E856" s="74"/>
    </row>
    <row r="857">
      <c r="D857" s="103"/>
      <c r="E857" s="74"/>
    </row>
    <row r="858">
      <c r="D858" s="103"/>
      <c r="E858" s="74"/>
    </row>
    <row r="859">
      <c r="D859" s="103"/>
      <c r="E859" s="74"/>
    </row>
    <row r="860">
      <c r="D860" s="103"/>
      <c r="E860" s="74"/>
    </row>
    <row r="861">
      <c r="D861" s="103"/>
      <c r="E861" s="74"/>
    </row>
    <row r="862">
      <c r="D862" s="103"/>
      <c r="E862" s="74"/>
    </row>
    <row r="863">
      <c r="D863" s="103"/>
      <c r="E863" s="74"/>
    </row>
    <row r="864">
      <c r="D864" s="103"/>
      <c r="E864" s="74"/>
    </row>
    <row r="865">
      <c r="D865" s="103"/>
      <c r="E865" s="74"/>
    </row>
    <row r="866">
      <c r="D866" s="103"/>
      <c r="E866" s="74"/>
    </row>
    <row r="867">
      <c r="D867" s="103"/>
      <c r="E867" s="74"/>
    </row>
    <row r="868">
      <c r="D868" s="103"/>
      <c r="E868" s="74"/>
    </row>
    <row r="869">
      <c r="D869" s="103"/>
      <c r="E869" s="74"/>
    </row>
    <row r="870">
      <c r="D870" s="103"/>
      <c r="E870" s="74"/>
    </row>
    <row r="871">
      <c r="D871" s="103"/>
      <c r="E871" s="74"/>
    </row>
    <row r="872">
      <c r="D872" s="103"/>
      <c r="E872" s="74"/>
    </row>
    <row r="873">
      <c r="D873" s="103"/>
      <c r="E873" s="74"/>
    </row>
    <row r="874">
      <c r="D874" s="103"/>
      <c r="E874" s="74"/>
    </row>
    <row r="875">
      <c r="D875" s="103"/>
      <c r="E875" s="74"/>
    </row>
    <row r="876">
      <c r="D876" s="103"/>
      <c r="E876" s="74"/>
    </row>
    <row r="877">
      <c r="D877" s="103"/>
      <c r="E877" s="74"/>
    </row>
    <row r="878">
      <c r="D878" s="103"/>
      <c r="E878" s="74"/>
    </row>
    <row r="879">
      <c r="D879" s="103"/>
      <c r="E879" s="74"/>
    </row>
    <row r="880">
      <c r="D880" s="103"/>
      <c r="E880" s="74"/>
    </row>
    <row r="881">
      <c r="D881" s="103"/>
      <c r="E881" s="74"/>
    </row>
    <row r="882">
      <c r="D882" s="103"/>
      <c r="E882" s="74"/>
    </row>
    <row r="883">
      <c r="D883" s="103"/>
      <c r="E883" s="74"/>
    </row>
    <row r="884">
      <c r="D884" s="103"/>
      <c r="E884" s="74"/>
    </row>
    <row r="885">
      <c r="D885" s="103"/>
      <c r="E885" s="74"/>
    </row>
    <row r="886">
      <c r="D886" s="103"/>
      <c r="E886" s="74"/>
    </row>
    <row r="887">
      <c r="D887" s="103"/>
      <c r="E887" s="74"/>
    </row>
    <row r="888">
      <c r="D888" s="103"/>
      <c r="E888" s="74"/>
    </row>
    <row r="889">
      <c r="D889" s="103"/>
      <c r="E889" s="74"/>
    </row>
    <row r="890">
      <c r="D890" s="103"/>
      <c r="E890" s="74"/>
    </row>
    <row r="891">
      <c r="D891" s="103"/>
      <c r="E891" s="74"/>
    </row>
    <row r="892">
      <c r="D892" s="103"/>
      <c r="E892" s="74"/>
    </row>
    <row r="893">
      <c r="D893" s="103"/>
      <c r="E893" s="74"/>
    </row>
    <row r="894">
      <c r="D894" s="103"/>
      <c r="E894" s="74"/>
    </row>
    <row r="895">
      <c r="D895" s="103"/>
      <c r="E895" s="74"/>
    </row>
    <row r="896">
      <c r="D896" s="103"/>
      <c r="E896" s="74"/>
    </row>
    <row r="897">
      <c r="D897" s="103"/>
      <c r="E897" s="74"/>
    </row>
    <row r="898">
      <c r="D898" s="103"/>
      <c r="E898" s="74"/>
    </row>
    <row r="899">
      <c r="D899" s="103"/>
      <c r="E899" s="74"/>
    </row>
    <row r="900">
      <c r="D900" s="103"/>
      <c r="E900" s="74"/>
    </row>
    <row r="901">
      <c r="D901" s="103"/>
      <c r="E901" s="74"/>
    </row>
    <row r="902">
      <c r="D902" s="103"/>
      <c r="E902" s="74"/>
    </row>
    <row r="903">
      <c r="D903" s="103"/>
      <c r="E903" s="74"/>
    </row>
    <row r="904">
      <c r="D904" s="103"/>
      <c r="E904" s="74"/>
    </row>
    <row r="905">
      <c r="D905" s="103"/>
      <c r="E905" s="74"/>
    </row>
    <row r="906">
      <c r="D906" s="103"/>
      <c r="E906" s="74"/>
    </row>
    <row r="907">
      <c r="D907" s="103"/>
      <c r="E907" s="74"/>
    </row>
    <row r="908">
      <c r="D908" s="103"/>
      <c r="E908" s="74"/>
    </row>
    <row r="909">
      <c r="D909" s="103"/>
      <c r="E909" s="74"/>
    </row>
    <row r="910">
      <c r="D910" s="103"/>
      <c r="E910" s="74"/>
    </row>
    <row r="911">
      <c r="D911" s="103"/>
      <c r="E911" s="74"/>
    </row>
    <row r="912">
      <c r="D912" s="103"/>
      <c r="E912" s="74"/>
    </row>
    <row r="913">
      <c r="D913" s="103"/>
      <c r="E913" s="74"/>
    </row>
    <row r="914">
      <c r="D914" s="103"/>
      <c r="E914" s="74"/>
    </row>
    <row r="915">
      <c r="D915" s="103"/>
      <c r="E915" s="74"/>
    </row>
    <row r="916">
      <c r="D916" s="103"/>
      <c r="E916" s="74"/>
    </row>
    <row r="917">
      <c r="D917" s="103"/>
      <c r="E917" s="74"/>
    </row>
    <row r="918">
      <c r="D918" s="103"/>
      <c r="E918" s="74"/>
    </row>
    <row r="919">
      <c r="D919" s="103"/>
      <c r="E919" s="74"/>
    </row>
    <row r="920">
      <c r="D920" s="103"/>
      <c r="E920" s="74"/>
    </row>
    <row r="921">
      <c r="D921" s="103"/>
      <c r="E921" s="74"/>
    </row>
    <row r="922">
      <c r="D922" s="103"/>
      <c r="E922" s="74"/>
    </row>
    <row r="923">
      <c r="D923" s="103"/>
      <c r="E923" s="74"/>
    </row>
    <row r="924">
      <c r="D924" s="103"/>
      <c r="E924" s="74"/>
    </row>
    <row r="925">
      <c r="D925" s="103"/>
      <c r="E925" s="74"/>
    </row>
    <row r="926">
      <c r="D926" s="103"/>
      <c r="E926" s="74"/>
    </row>
    <row r="927">
      <c r="D927" s="103"/>
      <c r="E927" s="74"/>
    </row>
    <row r="928">
      <c r="D928" s="103"/>
      <c r="E928" s="74"/>
    </row>
    <row r="929">
      <c r="D929" s="103"/>
      <c r="E929" s="74"/>
    </row>
    <row r="930">
      <c r="D930" s="103"/>
      <c r="E930" s="74"/>
    </row>
    <row r="931">
      <c r="D931" s="103"/>
      <c r="E931" s="74"/>
    </row>
    <row r="932">
      <c r="D932" s="103"/>
      <c r="E932" s="74"/>
    </row>
    <row r="933">
      <c r="D933" s="103"/>
      <c r="E933" s="74"/>
    </row>
    <row r="934">
      <c r="D934" s="103"/>
      <c r="E934" s="74"/>
    </row>
    <row r="935">
      <c r="D935" s="103"/>
      <c r="E935" s="74"/>
    </row>
    <row r="936">
      <c r="D936" s="103"/>
      <c r="E936" s="74"/>
    </row>
    <row r="937">
      <c r="D937" s="103"/>
      <c r="E937" s="74"/>
    </row>
    <row r="938">
      <c r="D938" s="103"/>
      <c r="E938" s="74"/>
    </row>
    <row r="939">
      <c r="D939" s="103"/>
      <c r="E939" s="74"/>
    </row>
    <row r="940">
      <c r="D940" s="103"/>
      <c r="E940" s="74"/>
    </row>
    <row r="941">
      <c r="D941" s="103"/>
      <c r="E941" s="74"/>
    </row>
    <row r="942">
      <c r="D942" s="103"/>
      <c r="E942" s="74"/>
    </row>
    <row r="943">
      <c r="D943" s="103"/>
      <c r="E943" s="74"/>
    </row>
    <row r="944">
      <c r="D944" s="103"/>
      <c r="E944" s="74"/>
    </row>
    <row r="945">
      <c r="D945" s="103"/>
      <c r="E945" s="74"/>
    </row>
    <row r="946">
      <c r="D946" s="103"/>
      <c r="E946" s="74"/>
    </row>
    <row r="947">
      <c r="D947" s="103"/>
      <c r="E947" s="74"/>
    </row>
    <row r="948">
      <c r="D948" s="103"/>
      <c r="E948" s="74"/>
    </row>
    <row r="949">
      <c r="D949" s="103"/>
      <c r="E949" s="74"/>
    </row>
    <row r="950">
      <c r="D950" s="103"/>
      <c r="E950" s="74"/>
    </row>
    <row r="951">
      <c r="D951" s="103"/>
      <c r="E951" s="74"/>
    </row>
    <row r="952">
      <c r="D952" s="103"/>
      <c r="E952" s="74"/>
    </row>
    <row r="953">
      <c r="D953" s="103"/>
      <c r="E953" s="74"/>
    </row>
    <row r="954">
      <c r="D954" s="103"/>
      <c r="E954" s="74"/>
    </row>
    <row r="955">
      <c r="D955" s="103"/>
      <c r="E955" s="74"/>
    </row>
    <row r="956">
      <c r="D956" s="103"/>
      <c r="E956" s="74"/>
    </row>
    <row r="957">
      <c r="D957" s="103"/>
      <c r="E957" s="74"/>
    </row>
    <row r="958">
      <c r="D958" s="103"/>
      <c r="E958" s="74"/>
    </row>
    <row r="959">
      <c r="D959" s="103"/>
      <c r="E959" s="74"/>
    </row>
    <row r="960">
      <c r="D960" s="103"/>
      <c r="E960" s="74"/>
    </row>
    <row r="961">
      <c r="D961" s="103"/>
      <c r="E961" s="74"/>
    </row>
    <row r="962">
      <c r="D962" s="103"/>
      <c r="E962" s="74"/>
    </row>
    <row r="963">
      <c r="D963" s="103"/>
      <c r="E963" s="74"/>
    </row>
    <row r="964">
      <c r="D964" s="103"/>
      <c r="E964" s="74"/>
    </row>
    <row r="965">
      <c r="D965" s="103"/>
      <c r="E965" s="74"/>
    </row>
    <row r="966">
      <c r="D966" s="103"/>
      <c r="E966" s="74"/>
    </row>
    <row r="967">
      <c r="D967" s="103"/>
      <c r="E967" s="74"/>
    </row>
    <row r="968">
      <c r="D968" s="103"/>
      <c r="E968" s="74"/>
    </row>
    <row r="969">
      <c r="D969" s="103"/>
      <c r="E969" s="74"/>
    </row>
    <row r="970">
      <c r="D970" s="103"/>
      <c r="E970" s="74"/>
    </row>
    <row r="971">
      <c r="D971" s="103"/>
      <c r="E971" s="74"/>
    </row>
    <row r="972">
      <c r="D972" s="103"/>
      <c r="E972" s="74"/>
    </row>
    <row r="973">
      <c r="D973" s="103"/>
      <c r="E973" s="74"/>
    </row>
    <row r="974">
      <c r="D974" s="103"/>
      <c r="E974" s="74"/>
    </row>
    <row r="975">
      <c r="D975" s="103"/>
      <c r="E975" s="74"/>
    </row>
    <row r="976">
      <c r="D976" s="103"/>
      <c r="E976" s="74"/>
    </row>
    <row r="977">
      <c r="D977" s="103"/>
      <c r="E977" s="74"/>
    </row>
    <row r="978">
      <c r="D978" s="103"/>
      <c r="E978" s="74"/>
    </row>
    <row r="979">
      <c r="D979" s="103"/>
      <c r="E979" s="74"/>
    </row>
    <row r="980">
      <c r="D980" s="103"/>
      <c r="E980" s="74"/>
    </row>
    <row r="981">
      <c r="D981" s="103"/>
      <c r="E981" s="74"/>
    </row>
    <row r="982">
      <c r="D982" s="103"/>
      <c r="E982" s="74"/>
    </row>
    <row r="983">
      <c r="D983" s="103"/>
      <c r="E983" s="74"/>
    </row>
    <row r="984">
      <c r="D984" s="103"/>
      <c r="E984" s="74"/>
    </row>
    <row r="985">
      <c r="D985" s="103"/>
      <c r="E985" s="74"/>
    </row>
    <row r="986">
      <c r="D986" s="103"/>
      <c r="E986" s="74"/>
    </row>
    <row r="987">
      <c r="D987" s="103"/>
      <c r="E987" s="74"/>
    </row>
    <row r="988">
      <c r="D988" s="103"/>
      <c r="E988" s="74"/>
    </row>
    <row r="989">
      <c r="D989" s="103"/>
      <c r="E989" s="74"/>
    </row>
    <row r="990">
      <c r="D990" s="103"/>
      <c r="E990" s="74"/>
    </row>
    <row r="991">
      <c r="D991" s="103"/>
      <c r="E991" s="74"/>
    </row>
    <row r="992">
      <c r="D992" s="103"/>
      <c r="E992" s="74"/>
    </row>
    <row r="993">
      <c r="D993" s="103"/>
      <c r="E993" s="74"/>
    </row>
    <row r="994">
      <c r="D994" s="103"/>
      <c r="E994" s="74"/>
    </row>
    <row r="995">
      <c r="D995" s="103"/>
      <c r="E995" s="74"/>
    </row>
    <row r="996">
      <c r="D996" s="103"/>
      <c r="E996" s="74"/>
    </row>
    <row r="997">
      <c r="D997" s="103"/>
      <c r="E997" s="74"/>
    </row>
    <row r="998">
      <c r="D998" s="103"/>
      <c r="E998" s="74"/>
    </row>
    <row r="999">
      <c r="D999" s="103"/>
      <c r="E999" s="74"/>
    </row>
    <row r="1000">
      <c r="D1000" s="103"/>
      <c r="E1000" s="74"/>
    </row>
    <row r="1001">
      <c r="D1001" s="103"/>
      <c r="E1001" s="74"/>
    </row>
    <row r="1002">
      <c r="D1002" s="103"/>
      <c r="E1002" s="74"/>
    </row>
    <row r="1003">
      <c r="D1003" s="103"/>
      <c r="E1003" s="74"/>
    </row>
    <row r="1004">
      <c r="D1004" s="103"/>
      <c r="E1004" s="74"/>
    </row>
    <row r="1005">
      <c r="D1005" s="103"/>
      <c r="E1005" s="74"/>
    </row>
    <row r="1006">
      <c r="D1006" s="103"/>
      <c r="E1006" s="74"/>
    </row>
    <row r="1007">
      <c r="D1007" s="103"/>
      <c r="E1007" s="74"/>
    </row>
    <row r="1008">
      <c r="D1008" s="103"/>
      <c r="E1008" s="74"/>
    </row>
    <row r="1009">
      <c r="D1009" s="103"/>
      <c r="E1009" s="74"/>
    </row>
    <row r="1010">
      <c r="D1010" s="103"/>
      <c r="E1010" s="74"/>
    </row>
    <row r="1011">
      <c r="D1011" s="103"/>
      <c r="E1011" s="74"/>
    </row>
    <row r="1012">
      <c r="D1012" s="103"/>
      <c r="E1012" s="74"/>
    </row>
    <row r="1013">
      <c r="D1013" s="103"/>
      <c r="E1013" s="74"/>
    </row>
    <row r="1014">
      <c r="D1014" s="103"/>
      <c r="E1014" s="74"/>
    </row>
    <row r="1015">
      <c r="D1015" s="103"/>
      <c r="E1015" s="74"/>
    </row>
    <row r="1016">
      <c r="D1016" s="103"/>
      <c r="E1016" s="74"/>
    </row>
    <row r="1017">
      <c r="D1017" s="103"/>
      <c r="E1017" s="74"/>
    </row>
    <row r="1018">
      <c r="D1018" s="103"/>
      <c r="E1018" s="74"/>
    </row>
    <row r="1019">
      <c r="D1019" s="103"/>
      <c r="E1019" s="74"/>
    </row>
    <row r="1020">
      <c r="D1020" s="103"/>
      <c r="E1020" s="74"/>
    </row>
    <row r="1021">
      <c r="D1021" s="103"/>
      <c r="E1021" s="74"/>
    </row>
    <row r="1022">
      <c r="D1022" s="103"/>
      <c r="E1022" s="74"/>
    </row>
    <row r="1023">
      <c r="D1023" s="103"/>
      <c r="E1023" s="74"/>
    </row>
    <row r="1024">
      <c r="D1024" s="103"/>
      <c r="E1024" s="74"/>
    </row>
    <row r="1025">
      <c r="D1025" s="103"/>
      <c r="E1025" s="74"/>
    </row>
    <row r="1026">
      <c r="D1026" s="103"/>
      <c r="E1026" s="74"/>
    </row>
    <row r="1027">
      <c r="D1027" s="103"/>
      <c r="E1027" s="74"/>
    </row>
    <row r="1028">
      <c r="D1028" s="103"/>
      <c r="E1028" s="74"/>
    </row>
    <row r="1029">
      <c r="D1029" s="103"/>
      <c r="E1029" s="74"/>
    </row>
    <row r="1030">
      <c r="D1030" s="103"/>
      <c r="E1030" s="74"/>
    </row>
    <row r="1031">
      <c r="D1031" s="103"/>
      <c r="E1031" s="74"/>
    </row>
    <row r="1032">
      <c r="D1032" s="103"/>
      <c r="E1032" s="74"/>
    </row>
    <row r="1033">
      <c r="D1033" s="103"/>
      <c r="E1033" s="74"/>
    </row>
    <row r="1034">
      <c r="D1034" s="103"/>
      <c r="E1034" s="74"/>
    </row>
    <row r="1035">
      <c r="D1035" s="103"/>
      <c r="E1035" s="74"/>
    </row>
    <row r="1036">
      <c r="D1036" s="103"/>
      <c r="E1036" s="74"/>
    </row>
    <row r="1037">
      <c r="D1037" s="103"/>
      <c r="E1037" s="74"/>
    </row>
    <row r="1038">
      <c r="D1038" s="103"/>
      <c r="E1038" s="74"/>
    </row>
    <row r="1039">
      <c r="D1039" s="103"/>
      <c r="E1039" s="74"/>
    </row>
    <row r="1040">
      <c r="D1040" s="103"/>
      <c r="E1040" s="74"/>
    </row>
    <row r="1041">
      <c r="D1041" s="103"/>
      <c r="E1041" s="74"/>
    </row>
    <row r="1042">
      <c r="D1042" s="103"/>
      <c r="E1042" s="74"/>
    </row>
    <row r="1043">
      <c r="D1043" s="103"/>
      <c r="E1043" s="74"/>
    </row>
    <row r="1044">
      <c r="D1044" s="103"/>
      <c r="E1044" s="74"/>
    </row>
    <row r="1045">
      <c r="D1045" s="103"/>
      <c r="E1045" s="74"/>
    </row>
    <row r="1046">
      <c r="D1046" s="103"/>
      <c r="E1046" s="74"/>
    </row>
    <row r="1047">
      <c r="D1047" s="103"/>
      <c r="E1047" s="74"/>
    </row>
    <row r="1048">
      <c r="D1048" s="103"/>
      <c r="E1048" s="74"/>
    </row>
    <row r="1049">
      <c r="D1049" s="103"/>
      <c r="E1049" s="74"/>
    </row>
    <row r="1050">
      <c r="D1050" s="103"/>
      <c r="E1050" s="74"/>
    </row>
    <row r="1051">
      <c r="D1051" s="103"/>
      <c r="E1051" s="74"/>
    </row>
    <row r="1052">
      <c r="D1052" s="103"/>
      <c r="E1052" s="74"/>
    </row>
    <row r="1053">
      <c r="D1053" s="103"/>
      <c r="E1053" s="74"/>
    </row>
    <row r="1054">
      <c r="D1054" s="103"/>
      <c r="E1054" s="74"/>
    </row>
    <row r="1055">
      <c r="D1055" s="103"/>
      <c r="E1055" s="74"/>
    </row>
    <row r="1056">
      <c r="D1056" s="103"/>
      <c r="E1056" s="74"/>
    </row>
    <row r="1057">
      <c r="D1057" s="103"/>
      <c r="E1057" s="74"/>
    </row>
    <row r="1058">
      <c r="D1058" s="103"/>
      <c r="E1058" s="74"/>
    </row>
  </sheetData>
  <autoFilter ref="$A$1:$Z$1058"/>
  <drawing r:id="rId1"/>
</worksheet>
</file>